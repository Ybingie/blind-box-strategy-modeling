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国科大\果壳研二\goods数模报告\"/>
    </mc:Choice>
  </mc:AlternateContent>
  <xr:revisionPtr revIDLastSave="0" documentId="13_ncr:1_{39F4A3D7-7041-4CE9-9DBA-20C6C24232F9}" xr6:coauthVersionLast="47" xr6:coauthVersionMax="47" xr10:uidLastSave="{00000000-0000-0000-0000-000000000000}"/>
  <bookViews>
    <workbookView xWindow="-103" yWindow="-103" windowWidth="22149" windowHeight="13920" firstSheet="6" activeTab="8" xr2:uid="{00000000-000D-0000-FFFF-FFFF00000000}"/>
  </bookViews>
  <sheets>
    <sheet name="00_Data_Notes" sheetId="1" r:id="rId1"/>
    <sheet name="01_Series_Basic_Info" sheetId="2" r:id="rId2"/>
    <sheet name="02_Character_Probabilities" sheetId="3" r:id="rId3"/>
    <sheet name="03_Secondary_Market_Raw_Data" sheetId="4" r:id="rId4"/>
    <sheet name="04_Duplicate_Resale" sheetId="5" r:id="rId5"/>
    <sheet name="05_Shipping_Transaction_Rules" sheetId="6" r:id="rId6"/>
    <sheet name="06_Data_Quality_Check" sheetId="7" r:id="rId7"/>
    <sheet name="07_Collection_Progress_Summary" sheetId="8" r:id="rId8"/>
    <sheet name="08_Data_Diction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8" l="1"/>
  <c r="F14" i="8" s="1"/>
  <c r="A14" i="8"/>
  <c r="B13" i="8"/>
  <c r="F13" i="8" s="1"/>
  <c r="A13" i="8"/>
  <c r="B12" i="8"/>
  <c r="F12" i="8" s="1"/>
  <c r="A12" i="8"/>
  <c r="D11" i="8"/>
  <c r="C11" i="8"/>
  <c r="B11" i="8"/>
  <c r="F11" i="8" s="1"/>
  <c r="A11" i="8"/>
  <c r="B10" i="8"/>
  <c r="A10" i="8"/>
  <c r="B9" i="8"/>
  <c r="D9" i="8" s="1"/>
  <c r="A9" i="8"/>
  <c r="E8" i="8"/>
  <c r="B8" i="8"/>
  <c r="A8" i="8"/>
  <c r="B7" i="8"/>
  <c r="A7" i="8"/>
  <c r="D6" i="8"/>
  <c r="C6" i="8"/>
  <c r="B6" i="8"/>
  <c r="F6" i="8" s="1"/>
  <c r="A6" i="8"/>
  <c r="B5" i="8"/>
  <c r="A5" i="8"/>
  <c r="D4" i="8"/>
  <c r="B4" i="8"/>
  <c r="F4" i="8" s="1"/>
  <c r="A4" i="8"/>
  <c r="E3" i="8"/>
  <c r="C3" i="8"/>
  <c r="B3" i="8"/>
  <c r="D3" i="8" s="1"/>
  <c r="F3" i="8" s="1"/>
  <c r="A3" i="8"/>
  <c r="J15" i="5"/>
  <c r="H15" i="5"/>
  <c r="D15" i="5"/>
  <c r="J14" i="5"/>
  <c r="H14" i="5"/>
  <c r="D14" i="5"/>
  <c r="J13" i="5"/>
  <c r="H13" i="5"/>
  <c r="D13" i="5"/>
  <c r="J12" i="5"/>
  <c r="H12" i="5"/>
  <c r="D12" i="5"/>
  <c r="H11" i="5"/>
  <c r="J11" i="5" s="1"/>
  <c r="D11" i="5"/>
  <c r="J10" i="5"/>
  <c r="H10" i="5"/>
  <c r="D10" i="5"/>
  <c r="D9" i="5"/>
  <c r="H9" i="5" s="1"/>
  <c r="J9" i="5" s="1"/>
  <c r="H8" i="5"/>
  <c r="J8" i="5" s="1"/>
  <c r="D8" i="5"/>
  <c r="D7" i="5"/>
  <c r="H7" i="5" s="1"/>
  <c r="J7" i="5" s="1"/>
  <c r="D6" i="5"/>
  <c r="H6" i="5" s="1"/>
  <c r="J6" i="5" s="1"/>
  <c r="H5" i="5"/>
  <c r="J5" i="5" s="1"/>
  <c r="D5" i="5"/>
  <c r="H4" i="5"/>
  <c r="J4" i="5" s="1"/>
  <c r="D4" i="5"/>
  <c r="M299" i="4"/>
  <c r="K299" i="4"/>
  <c r="M298" i="4"/>
  <c r="K298" i="4"/>
  <c r="M297" i="4"/>
  <c r="K297" i="4"/>
  <c r="M296" i="4"/>
  <c r="K296" i="4"/>
  <c r="M295" i="4"/>
  <c r="K295" i="4"/>
  <c r="M294" i="4"/>
  <c r="K294" i="4"/>
  <c r="M293" i="4"/>
  <c r="K293" i="4"/>
  <c r="M292" i="4"/>
  <c r="K292" i="4"/>
  <c r="M291" i="4"/>
  <c r="K291" i="4"/>
  <c r="M290" i="4"/>
  <c r="K290" i="4"/>
  <c r="M289" i="4"/>
  <c r="K289" i="4"/>
  <c r="M288" i="4"/>
  <c r="K288" i="4"/>
  <c r="M287" i="4"/>
  <c r="K287" i="4"/>
  <c r="M286" i="4"/>
  <c r="K286" i="4"/>
  <c r="M285" i="4"/>
  <c r="K285" i="4"/>
  <c r="M284" i="4"/>
  <c r="K284" i="4"/>
  <c r="M283" i="4"/>
  <c r="K283" i="4"/>
  <c r="M282" i="4"/>
  <c r="K282" i="4"/>
  <c r="M281" i="4"/>
  <c r="K281" i="4"/>
  <c r="M280" i="4"/>
  <c r="K280" i="4"/>
  <c r="M279" i="4"/>
  <c r="K279" i="4"/>
  <c r="M278" i="4"/>
  <c r="K278" i="4"/>
  <c r="M277" i="4"/>
  <c r="K277" i="4"/>
  <c r="M276" i="4"/>
  <c r="K276" i="4"/>
  <c r="M275" i="4"/>
  <c r="K275" i="4"/>
  <c r="M274" i="4"/>
  <c r="K274" i="4"/>
  <c r="M273" i="4"/>
  <c r="K273" i="4"/>
  <c r="M272" i="4"/>
  <c r="K272" i="4"/>
  <c r="M271" i="4"/>
  <c r="K271" i="4"/>
  <c r="M270" i="4"/>
  <c r="K270" i="4"/>
  <c r="M269" i="4"/>
  <c r="K269" i="4"/>
  <c r="M268" i="4"/>
  <c r="K268" i="4"/>
  <c r="M267" i="4"/>
  <c r="K267" i="4"/>
  <c r="M266" i="4"/>
  <c r="K266" i="4"/>
  <c r="M265" i="4"/>
  <c r="K265" i="4"/>
  <c r="M264" i="4"/>
  <c r="K264" i="4"/>
  <c r="M263" i="4"/>
  <c r="K263" i="4"/>
  <c r="M262" i="4"/>
  <c r="K262" i="4"/>
  <c r="M261" i="4"/>
  <c r="K261" i="4"/>
  <c r="M260" i="4"/>
  <c r="K260" i="4"/>
  <c r="M259" i="4"/>
  <c r="K259" i="4"/>
  <c r="M258" i="4"/>
  <c r="K258" i="4"/>
  <c r="M257" i="4"/>
  <c r="K257" i="4"/>
  <c r="M256" i="4"/>
  <c r="K256" i="4"/>
  <c r="M255" i="4"/>
  <c r="K255" i="4"/>
  <c r="M254" i="4"/>
  <c r="K254" i="4"/>
  <c r="M253" i="4"/>
  <c r="K253" i="4"/>
  <c r="M252" i="4"/>
  <c r="K252" i="4"/>
  <c r="M251" i="4"/>
  <c r="K251" i="4"/>
  <c r="M250" i="4"/>
  <c r="K250" i="4"/>
  <c r="M249" i="4"/>
  <c r="K249" i="4"/>
  <c r="M248" i="4"/>
  <c r="K248" i="4"/>
  <c r="M247" i="4"/>
  <c r="K247" i="4"/>
  <c r="M246" i="4"/>
  <c r="K246" i="4"/>
  <c r="M245" i="4"/>
  <c r="K245" i="4"/>
  <c r="M244" i="4"/>
  <c r="K244" i="4"/>
  <c r="M243" i="4"/>
  <c r="K243" i="4"/>
  <c r="M242" i="4"/>
  <c r="K242" i="4"/>
  <c r="M241" i="4"/>
  <c r="K241" i="4"/>
  <c r="M240" i="4"/>
  <c r="K240" i="4"/>
  <c r="M239" i="4"/>
  <c r="K239" i="4"/>
  <c r="M238" i="4"/>
  <c r="K238" i="4"/>
  <c r="M237" i="4"/>
  <c r="K237" i="4"/>
  <c r="M236" i="4"/>
  <c r="K236" i="4"/>
  <c r="M235" i="4"/>
  <c r="K235" i="4"/>
  <c r="M234" i="4"/>
  <c r="K234" i="4"/>
  <c r="M233" i="4"/>
  <c r="K233" i="4"/>
  <c r="M232" i="4"/>
  <c r="K232" i="4"/>
  <c r="M231" i="4"/>
  <c r="K231" i="4"/>
  <c r="M230" i="4"/>
  <c r="K230" i="4"/>
  <c r="M229" i="4"/>
  <c r="K229" i="4"/>
  <c r="M228" i="4"/>
  <c r="K228" i="4"/>
  <c r="M227" i="4"/>
  <c r="K227" i="4"/>
  <c r="M226" i="4"/>
  <c r="K226" i="4"/>
  <c r="M225" i="4"/>
  <c r="K225" i="4"/>
  <c r="M224" i="4"/>
  <c r="K224" i="4"/>
  <c r="M223" i="4"/>
  <c r="K223" i="4"/>
  <c r="M222" i="4"/>
  <c r="K222" i="4"/>
  <c r="M221" i="4"/>
  <c r="K221" i="4"/>
  <c r="M220" i="4"/>
  <c r="K220" i="4"/>
  <c r="M219" i="4"/>
  <c r="K219" i="4"/>
  <c r="M218" i="4"/>
  <c r="K218" i="4"/>
  <c r="M217" i="4"/>
  <c r="K217" i="4"/>
  <c r="M216" i="4"/>
  <c r="K216" i="4"/>
  <c r="M215" i="4"/>
  <c r="K215" i="4"/>
  <c r="M214" i="4"/>
  <c r="K214" i="4"/>
  <c r="M213" i="4"/>
  <c r="K213" i="4"/>
  <c r="M212" i="4"/>
  <c r="K212" i="4"/>
  <c r="M211" i="4"/>
  <c r="K211" i="4"/>
  <c r="M210" i="4"/>
  <c r="K210" i="4"/>
  <c r="M209" i="4"/>
  <c r="K209" i="4"/>
  <c r="M208" i="4"/>
  <c r="K208" i="4"/>
  <c r="M207" i="4"/>
  <c r="K207" i="4"/>
  <c r="M206" i="4"/>
  <c r="K206" i="4"/>
  <c r="M205" i="4"/>
  <c r="K205" i="4"/>
  <c r="M204" i="4"/>
  <c r="K204" i="4"/>
  <c r="M203" i="4"/>
  <c r="K203" i="4"/>
  <c r="M202" i="4"/>
  <c r="K202" i="4"/>
  <c r="M201" i="4"/>
  <c r="K201" i="4"/>
  <c r="M200" i="4"/>
  <c r="K200" i="4"/>
  <c r="M199" i="4"/>
  <c r="K199" i="4"/>
  <c r="M198" i="4"/>
  <c r="K198" i="4"/>
  <c r="M197" i="4"/>
  <c r="K197" i="4"/>
  <c r="M196" i="4"/>
  <c r="K196" i="4"/>
  <c r="M195" i="4"/>
  <c r="K195" i="4"/>
  <c r="M194" i="4"/>
  <c r="K194" i="4"/>
  <c r="M193" i="4"/>
  <c r="K193" i="4"/>
  <c r="M192" i="4"/>
  <c r="K192" i="4"/>
  <c r="M191" i="4"/>
  <c r="K191" i="4"/>
  <c r="M190" i="4"/>
  <c r="K190" i="4"/>
  <c r="M189" i="4"/>
  <c r="K189" i="4"/>
  <c r="M188" i="4"/>
  <c r="K188" i="4"/>
  <c r="M187" i="4"/>
  <c r="K187" i="4"/>
  <c r="M186" i="4"/>
  <c r="K186" i="4"/>
  <c r="M185" i="4"/>
  <c r="K185" i="4"/>
  <c r="M184" i="4"/>
  <c r="K184" i="4"/>
  <c r="M183" i="4"/>
  <c r="K183" i="4"/>
  <c r="M182" i="4"/>
  <c r="K182" i="4"/>
  <c r="M181" i="4"/>
  <c r="K181" i="4"/>
  <c r="M180" i="4"/>
  <c r="K180" i="4"/>
  <c r="M179" i="4"/>
  <c r="K179" i="4"/>
  <c r="M178" i="4"/>
  <c r="K178" i="4"/>
  <c r="M177" i="4"/>
  <c r="K177" i="4"/>
  <c r="M176" i="4"/>
  <c r="K176" i="4"/>
  <c r="M175" i="4"/>
  <c r="K175" i="4"/>
  <c r="M174" i="4"/>
  <c r="K174" i="4"/>
  <c r="M173" i="4"/>
  <c r="K173" i="4"/>
  <c r="M172" i="4"/>
  <c r="K172" i="4"/>
  <c r="M171" i="4"/>
  <c r="K171" i="4"/>
  <c r="M170" i="4"/>
  <c r="K170" i="4"/>
  <c r="M169" i="4"/>
  <c r="K169" i="4"/>
  <c r="M168" i="4"/>
  <c r="K168" i="4"/>
  <c r="M167" i="4"/>
  <c r="K167" i="4"/>
  <c r="M166" i="4"/>
  <c r="K166" i="4"/>
  <c r="M165" i="4"/>
  <c r="K165" i="4"/>
  <c r="M164" i="4"/>
  <c r="K164" i="4"/>
  <c r="M163" i="4"/>
  <c r="K163" i="4"/>
  <c r="M162" i="4"/>
  <c r="K162" i="4"/>
  <c r="M161" i="4"/>
  <c r="K161" i="4"/>
  <c r="M160" i="4"/>
  <c r="K160" i="4"/>
  <c r="M159" i="4"/>
  <c r="K159" i="4"/>
  <c r="M158" i="4"/>
  <c r="K158" i="4"/>
  <c r="M157" i="4"/>
  <c r="K157" i="4"/>
  <c r="M156" i="4"/>
  <c r="K156" i="4"/>
  <c r="M155" i="4"/>
  <c r="K155" i="4"/>
  <c r="M154" i="4"/>
  <c r="K154" i="4"/>
  <c r="M153" i="4"/>
  <c r="K153" i="4"/>
  <c r="M152" i="4"/>
  <c r="K152" i="4"/>
  <c r="M151" i="4"/>
  <c r="K151" i="4"/>
  <c r="M150" i="4"/>
  <c r="K150" i="4"/>
  <c r="M149" i="4"/>
  <c r="K149" i="4"/>
  <c r="M148" i="4"/>
  <c r="K148" i="4"/>
  <c r="M147" i="4"/>
  <c r="K147" i="4"/>
  <c r="M146" i="4"/>
  <c r="K146" i="4"/>
  <c r="M145" i="4"/>
  <c r="K145" i="4"/>
  <c r="M144" i="4"/>
  <c r="K144" i="4"/>
  <c r="M143" i="4"/>
  <c r="K143" i="4"/>
  <c r="M142" i="4"/>
  <c r="K142" i="4"/>
  <c r="M141" i="4"/>
  <c r="K141" i="4"/>
  <c r="M140" i="4"/>
  <c r="K140" i="4"/>
  <c r="M139" i="4"/>
  <c r="K139" i="4"/>
  <c r="M138" i="4"/>
  <c r="K138" i="4"/>
  <c r="M137" i="4"/>
  <c r="K137" i="4"/>
  <c r="K136" i="4"/>
  <c r="M136" i="4" s="1"/>
  <c r="K135" i="4"/>
  <c r="M135" i="4" s="1"/>
  <c r="K134" i="4"/>
  <c r="M134" i="4" s="1"/>
  <c r="M133" i="4"/>
  <c r="K133" i="4"/>
  <c r="M132" i="4"/>
  <c r="K132" i="4"/>
  <c r="K131" i="4"/>
  <c r="M131" i="4" s="1"/>
  <c r="M130" i="4"/>
  <c r="K130" i="4"/>
  <c r="K129" i="4"/>
  <c r="M129" i="4" s="1"/>
  <c r="K128" i="4"/>
  <c r="M128" i="4" s="1"/>
  <c r="K127" i="4"/>
  <c r="M127" i="4" s="1"/>
  <c r="K126" i="4"/>
  <c r="M126" i="4" s="1"/>
  <c r="M125" i="4"/>
  <c r="K125" i="4"/>
  <c r="M124" i="4"/>
  <c r="K124" i="4"/>
  <c r="K123" i="4"/>
  <c r="M123" i="4" s="1"/>
  <c r="M122" i="4"/>
  <c r="K122" i="4"/>
  <c r="K121" i="4"/>
  <c r="M121" i="4" s="1"/>
  <c r="K120" i="4"/>
  <c r="M120" i="4" s="1"/>
  <c r="K119" i="4"/>
  <c r="M119" i="4" s="1"/>
  <c r="K118" i="4"/>
  <c r="M118" i="4" s="1"/>
  <c r="M117" i="4"/>
  <c r="K117" i="4"/>
  <c r="M116" i="4"/>
  <c r="K116" i="4"/>
  <c r="K115" i="4"/>
  <c r="M115" i="4" s="1"/>
  <c r="M114" i="4"/>
  <c r="K114" i="4"/>
  <c r="K113" i="4"/>
  <c r="M113" i="4" s="1"/>
  <c r="K112" i="4"/>
  <c r="M112" i="4" s="1"/>
  <c r="K111" i="4"/>
  <c r="M111" i="4" s="1"/>
  <c r="K110" i="4"/>
  <c r="M110" i="4" s="1"/>
  <c r="M109" i="4"/>
  <c r="K109" i="4"/>
  <c r="M108" i="4"/>
  <c r="K108" i="4"/>
  <c r="K107" i="4"/>
  <c r="M107" i="4" s="1"/>
  <c r="M106" i="4"/>
  <c r="K106" i="4"/>
  <c r="K105" i="4"/>
  <c r="M105" i="4" s="1"/>
  <c r="K104" i="4"/>
  <c r="M104" i="4" s="1"/>
  <c r="K103" i="4"/>
  <c r="M103" i="4" s="1"/>
  <c r="K102" i="4"/>
  <c r="M102" i="4" s="1"/>
  <c r="M101" i="4"/>
  <c r="K101" i="4"/>
  <c r="M100" i="4"/>
  <c r="K100" i="4"/>
  <c r="K99" i="4"/>
  <c r="M99" i="4" s="1"/>
  <c r="M98" i="4"/>
  <c r="K98" i="4"/>
  <c r="K97" i="4"/>
  <c r="M97" i="4" s="1"/>
  <c r="K96" i="4"/>
  <c r="M96" i="4" s="1"/>
  <c r="K95" i="4"/>
  <c r="M95" i="4" s="1"/>
  <c r="K94" i="4"/>
  <c r="M94" i="4" s="1"/>
  <c r="M93" i="4"/>
  <c r="K93" i="4"/>
  <c r="M92" i="4"/>
  <c r="K92" i="4"/>
  <c r="K91" i="4"/>
  <c r="M91" i="4" s="1"/>
  <c r="M90" i="4"/>
  <c r="K90" i="4"/>
  <c r="K89" i="4"/>
  <c r="M89" i="4" s="1"/>
  <c r="K88" i="4"/>
  <c r="M88" i="4" s="1"/>
  <c r="K87" i="4"/>
  <c r="M87" i="4" s="1"/>
  <c r="K86" i="4"/>
  <c r="M86" i="4" s="1"/>
  <c r="M85" i="4"/>
  <c r="K85" i="4"/>
  <c r="M84" i="4"/>
  <c r="K84" i="4"/>
  <c r="K83" i="4"/>
  <c r="M83" i="4" s="1"/>
  <c r="M82" i="4"/>
  <c r="K82" i="4"/>
  <c r="K81" i="4"/>
  <c r="M81" i="4" s="1"/>
  <c r="K80" i="4"/>
  <c r="M80" i="4" s="1"/>
  <c r="K79" i="4"/>
  <c r="M79" i="4" s="1"/>
  <c r="K78" i="4"/>
  <c r="M78" i="4" s="1"/>
  <c r="M77" i="4"/>
  <c r="K77" i="4"/>
  <c r="M76" i="4"/>
  <c r="K76" i="4"/>
  <c r="K75" i="4"/>
  <c r="M75" i="4" s="1"/>
  <c r="M74" i="4"/>
  <c r="K74" i="4"/>
  <c r="K73" i="4"/>
  <c r="M73" i="4" s="1"/>
  <c r="K72" i="4"/>
  <c r="M72" i="4" s="1"/>
  <c r="K71" i="4"/>
  <c r="M71" i="4" s="1"/>
  <c r="K70" i="4"/>
  <c r="M70" i="4" s="1"/>
  <c r="M69" i="4"/>
  <c r="K69" i="4"/>
  <c r="M68" i="4"/>
  <c r="K68" i="4"/>
  <c r="K67" i="4"/>
  <c r="M67" i="4" s="1"/>
  <c r="M66" i="4"/>
  <c r="K66" i="4"/>
  <c r="K65" i="4"/>
  <c r="M65" i="4" s="1"/>
  <c r="K64" i="4"/>
  <c r="M64" i="4" s="1"/>
  <c r="K63" i="4"/>
  <c r="M63" i="4" s="1"/>
  <c r="K62" i="4"/>
  <c r="M62" i="4" s="1"/>
  <c r="M61" i="4"/>
  <c r="K61" i="4"/>
  <c r="M60" i="4"/>
  <c r="K60" i="4"/>
  <c r="K59" i="4"/>
  <c r="M59" i="4" s="1"/>
  <c r="M58" i="4"/>
  <c r="K58" i="4"/>
  <c r="K57" i="4"/>
  <c r="M57" i="4" s="1"/>
  <c r="K56" i="4"/>
  <c r="M56" i="4" s="1"/>
  <c r="K55" i="4"/>
  <c r="M55" i="4" s="1"/>
  <c r="K54" i="4"/>
  <c r="M54" i="4" s="1"/>
  <c r="M53" i="4"/>
  <c r="K53" i="4"/>
  <c r="M52" i="4"/>
  <c r="K52" i="4"/>
  <c r="K51" i="4"/>
  <c r="M51" i="4" s="1"/>
  <c r="M50" i="4"/>
  <c r="K50" i="4"/>
  <c r="K49" i="4"/>
  <c r="M49" i="4" s="1"/>
  <c r="K48" i="4"/>
  <c r="M48" i="4" s="1"/>
  <c r="K47" i="4"/>
  <c r="M47" i="4" s="1"/>
  <c r="K46" i="4"/>
  <c r="M46" i="4" s="1"/>
  <c r="M45" i="4"/>
  <c r="K45" i="4"/>
  <c r="M44" i="4"/>
  <c r="K44" i="4"/>
  <c r="K43" i="4"/>
  <c r="M43" i="4" s="1"/>
  <c r="M42" i="4"/>
  <c r="K42" i="4"/>
  <c r="K41" i="4"/>
  <c r="M41" i="4" s="1"/>
  <c r="K40" i="4"/>
  <c r="M40" i="4" s="1"/>
  <c r="K39" i="4"/>
  <c r="M39" i="4" s="1"/>
  <c r="K38" i="4"/>
  <c r="M38" i="4" s="1"/>
  <c r="M37" i="4"/>
  <c r="K37" i="4"/>
  <c r="M36" i="4"/>
  <c r="K36" i="4"/>
  <c r="K35" i="4"/>
  <c r="M35" i="4" s="1"/>
  <c r="M34" i="4"/>
  <c r="K34" i="4"/>
  <c r="K33" i="4"/>
  <c r="M33" i="4" s="1"/>
  <c r="K32" i="4"/>
  <c r="M32" i="4" s="1"/>
  <c r="K31" i="4"/>
  <c r="M31" i="4" s="1"/>
  <c r="K30" i="4"/>
  <c r="M30" i="4" s="1"/>
  <c r="M29" i="4"/>
  <c r="K29" i="4"/>
  <c r="M28" i="4"/>
  <c r="K28" i="4"/>
  <c r="K27" i="4"/>
  <c r="M27" i="4" s="1"/>
  <c r="M26" i="4"/>
  <c r="K26" i="4"/>
  <c r="K25" i="4"/>
  <c r="M25" i="4" s="1"/>
  <c r="K24" i="4"/>
  <c r="M24" i="4" s="1"/>
  <c r="K23" i="4"/>
  <c r="M23" i="4" s="1"/>
  <c r="K22" i="4"/>
  <c r="M22" i="4" s="1"/>
  <c r="M21" i="4"/>
  <c r="K21" i="4"/>
  <c r="M20" i="4"/>
  <c r="K20" i="4"/>
  <c r="K19" i="4"/>
  <c r="M19" i="4" s="1"/>
  <c r="M18" i="4"/>
  <c r="K18" i="4"/>
  <c r="K17" i="4"/>
  <c r="M17" i="4" s="1"/>
  <c r="K16" i="4"/>
  <c r="M16" i="4" s="1"/>
  <c r="K15" i="4"/>
  <c r="M15" i="4" s="1"/>
  <c r="K14" i="4"/>
  <c r="M14" i="4" s="1"/>
  <c r="M13" i="4"/>
  <c r="K13" i="4"/>
  <c r="M12" i="4"/>
  <c r="K12" i="4"/>
  <c r="K11" i="4"/>
  <c r="M11" i="4" s="1"/>
  <c r="M10" i="4"/>
  <c r="K10" i="4"/>
  <c r="K9" i="4"/>
  <c r="M9" i="4" s="1"/>
  <c r="K8" i="4"/>
  <c r="M8" i="4" s="1"/>
  <c r="K7" i="4"/>
  <c r="M7" i="4" s="1"/>
  <c r="K6" i="4"/>
  <c r="M6" i="4" s="1"/>
  <c r="M5" i="4"/>
  <c r="K5" i="4"/>
  <c r="M4" i="4"/>
  <c r="K4" i="4"/>
  <c r="K3" i="4"/>
  <c r="M3" i="4" s="1"/>
  <c r="N6" i="3"/>
  <c r="N4" i="3"/>
  <c r="N5" i="3" s="1"/>
  <c r="N3" i="3"/>
  <c r="B15" i="1"/>
  <c r="B14" i="1"/>
  <c r="B13" i="1"/>
  <c r="B12" i="1"/>
  <c r="B11" i="1"/>
  <c r="C4" i="8" l="1"/>
  <c r="E9" i="8"/>
  <c r="C12" i="8"/>
  <c r="F9" i="8"/>
  <c r="D12" i="8"/>
  <c r="E4" i="8"/>
  <c r="C7" i="8"/>
  <c r="E12" i="8"/>
  <c r="D7" i="8"/>
  <c r="F7" i="8" s="1"/>
  <c r="E7" i="8"/>
  <c r="C10" i="8"/>
  <c r="D10" i="8"/>
  <c r="F10" i="8" s="1"/>
  <c r="C5" i="8"/>
  <c r="E10" i="8"/>
  <c r="C13" i="8"/>
  <c r="D5" i="8"/>
  <c r="F5" i="8" s="1"/>
  <c r="D13" i="8"/>
  <c r="E5" i="8"/>
  <c r="C8" i="8"/>
  <c r="E13" i="8"/>
  <c r="D8" i="8"/>
  <c r="F8" i="8" s="1"/>
  <c r="E11" i="8"/>
  <c r="C14" i="8"/>
  <c r="D14" i="8"/>
  <c r="E6" i="8"/>
  <c r="C9" i="8"/>
  <c r="E14" i="8"/>
</calcChain>
</file>

<file path=xl/sharedStrings.xml><?xml version="1.0" encoding="utf-8"?>
<sst xmlns="http://schemas.openxmlformats.org/spreadsheetml/2006/main" count="2870" uniqueCount="872">
  <si>
    <t>Random Blind-Box Full-Set Collection Strategy | Data Collection</t>
  </si>
  <si>
    <t>Field Type</t>
  </si>
  <si>
    <t>Color</t>
  </si>
  <si>
    <t>Meaning</t>
  </si>
  <si>
    <t>Collection Steps</t>
  </si>
  <si>
    <t>Main Worksheet</t>
  </si>
  <si>
    <t>Completion Flag</t>
  </si>
  <si>
    <t>Required</t>
  </si>
  <si>
    <t>Data essential for modeling</t>
  </si>
  <si>
    <t>1. Select series and verify rules</t>
  </si>
  <si>
    <t>01_Series_Basic_Info</t>
  </si>
  <si>
    <t>Confirm independent random draws, version, and character scope</t>
  </si>
  <si>
    <t>Conditionally Required</t>
  </si>
  <si>
    <t>Must fill in when the condition is met</t>
  </si>
  <si>
    <t>2. Organize characters and probabilities</t>
  </si>
  <si>
    <t>02_Character_Probabilities</t>
  </si>
  <si>
    <t>Probability sum passes check</t>
  </si>
  <si>
    <t>Optional</t>
  </si>
  <si>
    <t>Helps improve report quality but not a minimum requirement</t>
  </si>
  <si>
    <t>3. Collect secondary-market prices and evidence</t>
  </si>
  <si>
    <t>03_Secondary_Market_Raw_Data</t>
  </si>
  <si>
    <t>Each character reaches recommended sample size</t>
  </si>
  <si>
    <t>Auto-calculated</t>
  </si>
  <si>
    <t>Generated automatically by formula</t>
  </si>
  <si>
    <t>4. Supplement transaction rules and self-check</t>
  </si>
  <si>
    <t>04—06Worksheet</t>
  </si>
  <si>
    <t>Quality checklist has no major gaps</t>
  </si>
  <si>
    <t>Progress Metric</t>
  </si>
  <si>
    <t>Current Value</t>
  </si>
  <si>
    <t>Target</t>
  </si>
  <si>
    <t>Submission Checklist</t>
  </si>
  <si>
    <t>Completed?</t>
  </si>
  <si>
    <t>Number of target characters filled</t>
  </si>
  <si>
    <t>6–12</t>
  </si>
  <si>
    <t>Excel workbook fully completed</t>
  </si>
  <si>
    <t>Completed</t>
  </si>
  <si>
    <t>Number of secondary-market raw records</t>
  </si>
  <si>
    <t>Preferably ≥15 per character</t>
  </si>
  <si>
    <t>Official info screenshots and links saved</t>
  </si>
  <si>
    <t>Number of valid records included in analysis</t>
  </si>
  <si>
    <t>At least 8 per character is more reliable</t>
  </si>
  <si>
    <t>Secondary-market screenshots named by evidence ID</t>
  </si>
  <si>
    <t>Valid records missing evidence ID</t>
  </si>
  <si>
    <t>0 records</t>
  </si>
  <si>
    <t>Excluded data retained with reasons stated</t>
  </si>
  <si>
    <t>Completed quality-check items</t>
  </si>
  <si>
    <t>All required check items</t>
  </si>
  <si>
    <t>Folder named and packaged as required</t>
  </si>
  <si>
    <t>Series Basic Information and Official Rules</t>
  </si>
  <si>
    <t>Field Name</t>
  </si>
  <si>
    <t>Entry</t>
  </si>
  <si>
    <t>Full Series Name</t>
  </si>
  <si>
    <t>DEATH NOTE -My Dear Light- POP UP SHOP (Misa-themed exclusive pop-up / PARCO offline matte badge)</t>
  </si>
  <si>
    <t>Work / Title Name</t>
  </si>
  <si>
    <t>DEATH NOTE (デスノート / Death Note)</t>
  </si>
  <si>
    <t>Product Type</t>
  </si>
  <si>
    <t>Blind-box metal badge (トレーディング缶バッジ / Trading Badge)</t>
  </si>
  <si>
    <t>Product Specs / Size</t>
  </si>
  <si>
    <t>Diameter Φ56mm per badge; single independent blind bag; BOX contains 8 packs (8 badges)</t>
  </si>
  <si>
    <t>Release Batch / Version</t>
  </si>
  <si>
    <t>Batch1 Nagoya PARCO (2025.2.7–2.24); Batch2 Ikebukuro PARCO (2025.3.19–3.30); Batch3 Fukuoka PARCO (2025.5.23–6.8); Post restock (reservation 2026.4.3–5.10, ship June)</t>
  </si>
  <si>
    <t>Official Release Date</t>
  </si>
  <si>
    <t>2025-02-07</t>
  </si>
  <si>
    <t>Total Number of Target Characters n</t>
  </si>
  <si>
    <t>Official Random Unit Price</t>
  </si>
  <si>
    <t>550 JPY (tax incl., single); BOX 4,400 JPY (tax incl.); China retail about 39.8 CNY</t>
  </si>
  <si>
    <t>Official Purchase Channels</t>
  </si>
  <si>
    <t>Offline: Nagoya/Ikebukuro/Fukuoka PARCO pop-up venues; Online restock: Sofmap ONLINE, PARCO ART official reservation</t>
  </si>
  <si>
    <t>Official Shipping Rules</t>
  </si>
  <si>
    <t>No shipping at offline venues; online restock shipping not clearly stated in public materials (subject to actual checkout)</t>
  </si>
  <si>
    <t>Other Official Fees</t>
  </si>
  <si>
    <t>Items per Pack</t>
  </si>
  <si>
    <t>Independent Random per Pack?</t>
  </si>
  <si>
    <t>Yes</t>
  </si>
  <si>
    <t>Public Pity / Guarantee Mechanism?</t>
  </si>
  <si>
    <t>No pity for single packs (1 full BOX of 8 guarantees all 8 standard designs, no duplicates)</t>
  </si>
  <si>
    <t>Box Has No Duplicates / Fixed Box Ratio?</t>
  </si>
  <si>
    <t>Yes. Full box fixed set of 8 designs with no duplicates</t>
  </si>
  <si>
    <t>Hidden / Secret Designs?</t>
  </si>
  <si>
    <t>No. No hidden/SP/variant/foil designs; only 8 fixed original illustrations</t>
  </si>
  <si>
    <t>Handling of Hidden Designs</t>
  </si>
  <si>
    <t>N/A (no hidden designs)</t>
  </si>
  <si>
    <t>Official Character Probabilities Published?</t>
  </si>
  <si>
    <t>Official Probability Description</t>
  </si>
  <si>
    <t>No rarity tiers; 8 designs equal factory ratio; BOX mechanism guarantees full set of 8</t>
  </si>
  <si>
    <t>Official Information Source URL</t>
  </si>
  <si>
    <t>1.https://art.parco.jp/parcofactory/detail/?id=1701
2.https://prtimes.jp/main/html/rd/p/000003340.000003639.html
3.https://www.sofmap.com/product_detail_sp.aspx?sku=101920630
4.https://ikebukuro.parco.jp/</t>
  </si>
  <si>
    <t>Official Information Collection Date</t>
  </si>
  <si>
    <t>1.PARCO ART:2025-01-22 (first)/2025-03-20 (recheck); 2.PR TIMES:2025-01-22; 3.Sofmap:2026-04-03/2026-04-15; 4.Ikebukuro PARCO:2025-03-18</t>
  </si>
  <si>
    <t>Official Evidence ID</t>
  </si>
  <si>
    <t>Sofmap SKU:101920630; PARCO FACTORY EVENT No.1701; Manufacturer: 株式会社アヴェンジャーズ</t>
  </si>
  <si>
    <t>Reason for Choosing This Series</t>
  </si>
  <si>
    <t>Fixed 8 designs, no hidden; BOX guarantees full set no duplicates; independent random packs; complete official info; suitable for base blind-draw modeling and data collection</t>
  </si>
  <si>
    <t>Other Remarks</t>
  </si>
  <si>
    <t>Finish: matte print, proportional single-character art, no glitter/relief. Purchase limit: max 1 BOX per person per checkout. Full set of 8: 1.Light Yagami front view 2.Light Yagami profile 3.L light-gray portrait 4.L dark-gray profile 5.Misa Amane smiling 6.Misa Amane choker 7.Near 8.Mello. All official pages archived via WebArchive.</t>
  </si>
  <si>
    <t>Character List and Draw Probabilities</t>
  </si>
  <si>
    <t>Character ID</t>
  </si>
  <si>
    <t>Character Name</t>
  </si>
  <si>
    <t>Target Character?</t>
  </si>
  <si>
    <t>Character Version / Design</t>
  </si>
  <si>
    <t>Official Probability</t>
  </si>
  <si>
    <t>Baseline Probability p_i</t>
  </si>
  <si>
    <t>Probability Setting Method</t>
  </si>
  <si>
    <t>Probability Source URL</t>
  </si>
  <si>
    <t>Low-Probability Scenario</t>
  </si>
  <si>
    <t>High-Probability Scenario</t>
  </si>
  <si>
    <t>Remarks</t>
  </si>
  <si>
    <t>Probability Check</t>
  </si>
  <si>
    <t>Result</t>
  </si>
  <si>
    <t>Light Yagami, front view</t>
  </si>
  <si>
    <t>front view</t>
  </si>
  <si>
    <t>Not published</t>
  </si>
  <si>
    <t>Equal probability</t>
  </si>
  <si>
    <t>https://art.parco.jp/parcofactory/detail/?id=1701</t>
  </si>
  <si>
    <t>Standard design</t>
  </si>
  <si>
    <t>Number of Target Characters</t>
  </si>
  <si>
    <t>Light Yagami, profile</t>
  </si>
  <si>
    <t>profile</t>
  </si>
  <si>
    <t>Sum of Baseline Probabilities</t>
  </si>
  <si>
    <t>L, light-gray portrait</t>
  </si>
  <si>
    <t>light-gray portrait</t>
  </si>
  <si>
    <t>Equals 1?</t>
  </si>
  <si>
    <t>L, dark-gray profile</t>
  </si>
  <si>
    <t>dark-gray profile</t>
  </si>
  <si>
    <t>Number of Missing Baseline Probabilities</t>
  </si>
  <si>
    <t>Misa Amane, smiling</t>
  </si>
  <si>
    <t>smiling</t>
  </si>
  <si>
    <t>Misa Amane, choker</t>
  </si>
  <si>
    <t>choker</t>
  </si>
  <si>
    <t>Near</t>
  </si>
  <si>
    <t>looking down, white paper</t>
  </si>
  <si>
    <t>Mello</t>
  </si>
  <si>
    <t>red-brown coat</t>
  </si>
  <si>
    <t>Secondary-Market Raw Records (one row per listing)</t>
  </si>
  <si>
    <t>Record ID</t>
  </si>
  <si>
    <t>Platform</t>
  </si>
  <si>
    <t>Product Title</t>
  </si>
  <si>
    <t>Product Link</t>
  </si>
  <si>
    <t>Collection Date</t>
  </si>
  <si>
    <t>Listing Price</t>
  </si>
  <si>
    <t>Free Shipping?</t>
  </si>
  <si>
    <t>Buyer Shipping Cost</t>
  </si>
  <si>
    <t>Platform Fees</t>
  </si>
  <si>
    <t>Actual Landed Cost</t>
  </si>
  <si>
    <t>Quantity</t>
  </si>
  <si>
    <t>Unit Converted Price</t>
  </si>
  <si>
    <t>Product Version</t>
  </si>
  <si>
    <t>Product Specs</t>
  </si>
  <si>
    <t>Condition</t>
  </si>
  <si>
    <t>Sold as Single Character?</t>
  </si>
  <si>
    <t>Bundled?</t>
  </si>
  <si>
    <t>Abnormal Price?</t>
  </si>
  <si>
    <t>Include in Analysis?</t>
  </si>
  <si>
    <t>Exclusion Reason</t>
  </si>
  <si>
    <t>Evidence ID</t>
  </si>
  <si>
    <t>Screenshot File Name</t>
  </si>
  <si>
    <t>Xianyu</t>
  </si>
  <si>
    <t>【【包邮出】死亡笔记 名古屋快闪 夜神月正脸徽章】</t>
  </si>
  <si>
    <t>https://m.tb.cn/h.8hZ5v4h</t>
  </si>
  <si>
    <t>My Dear Light</t>
  </si>
  <si>
    <t>Φ56mm matte</t>
  </si>
  <si>
    <t>Opened, good condition</t>
  </si>
  <si>
    <t>No</t>
  </si>
  <si>
    <t>MKT-001</t>
  </si>
  <si>
    <t>MKT-001.png</t>
  </si>
  <si>
    <t>【包邮出】死亡笔记名古屋快闪夜神月正脸】</t>
  </si>
  <si>
    <t>https://m.tb.cn/h.8hZ6c8g</t>
  </si>
  <si>
    <t>MKT-002</t>
  </si>
  <si>
    <t>MKT-002.png</t>
  </si>
  <si>
    <t>【出】死亡笔记 名古屋快闪吧唧 夜神月正脸】</t>
  </si>
  <si>
    <t>https://m.tb.cn/h.85loirB</t>
  </si>
  <si>
    <t>Sealed, new</t>
  </si>
  <si>
    <t>MKT-003</t>
  </si>
  <si>
    <t>MKT-003.png</t>
  </si>
  <si>
    <t>【标价非偏 不要直拍 先tt我 死亡笔记夜神月名古屋正脸吧唧】</t>
  </si>
  <si>
    <t>https://m.tb.cn/h.8TobHp2</t>
  </si>
  <si>
    <t>Yes (excl. remote areas</t>
  </si>
  <si>
    <t>Slight defect</t>
  </si>
  <si>
    <t>MKT-004</t>
  </si>
  <si>
    <t>MKT-004.png</t>
  </si>
  <si>
    <t>【夜神月侧脸吧唧 有原袋 保存良好】</t>
  </si>
  <si>
    <t>https://m.tb.cn/h.85lSeVr</t>
  </si>
  <si>
    <t>MKT-005</t>
  </si>
  <si>
    <t>MKT-005.png</t>
  </si>
  <si>
    <t>【【出】死亡笔记DeathNote名古屋池袋快闪吧唧，夜神月侧】</t>
  </si>
  <si>
    <t>https://m.tb.cn/h.85lSVae</t>
  </si>
  <si>
    <t>MKT-006</t>
  </si>
  <si>
    <t>MKT-006.png</t>
  </si>
  <si>
    <t>【出夜神月名古屋吧唧】【死亡笔记】</t>
  </si>
  <si>
    <t>https://m.tb.cn/h.85ldtv8</t>
  </si>
  <si>
    <t>MKT-007</t>
  </si>
  <si>
    <t>MKT-007.png</t>
  </si>
  <si>
    <t>【【出】死亡笔记 My Dear Light快闪吧唧 夜神月】</t>
  </si>
  <si>
    <t>https://m.tb.cn/h.8TMIVgE</t>
  </si>
  <si>
    <t>Condition unclear</t>
  </si>
  <si>
    <t>MKT-008</t>
  </si>
  <si>
    <t>MKT-008.png</t>
  </si>
  <si>
    <t>https://m.tb.cn/h.8gPsqAk</t>
  </si>
  <si>
    <t>MKT-009</t>
  </si>
  <si>
    <t>MKT-009.png</t>
  </si>
  <si>
    <t>【出国现】死亡笔记 名古屋快闪原画吧唧 夜神月 包邮】</t>
  </si>
  <si>
    <t>https://m.tb.cn/h.8hZZTQq</t>
  </si>
  <si>
    <t>MKT-010</t>
  </si>
  <si>
    <t>MKT-010.png</t>
  </si>
  <si>
    <t>【死亡笔记 名古屋快闪吧唧 夜神月】</t>
  </si>
  <si>
    <t>https://m.tb.cn/h.8hZ0bn4</t>
  </si>
  <si>
    <t>MKT-011</t>
  </si>
  <si>
    <t>MKT-011.png</t>
  </si>
  <si>
    <t>【一位老员工。。直出50，不包邮】</t>
  </si>
  <si>
    <t>https://m.tb.cn/h.8hZTPEH</t>
  </si>
  <si>
    <t>MKT-012</t>
  </si>
  <si>
    <t>MKT-012.png</t>
  </si>
  <si>
    <t>【出夜神月名古屋吧唧 48包非偏】</t>
  </si>
  <si>
    <t>https://m.tb.cn/h.8Toancr</t>
  </si>
  <si>
    <t>Condition not specified</t>
  </si>
  <si>
    <t>MKT-013</t>
  </si>
  <si>
    <t>MKT-013.png</t>
  </si>
  <si>
    <t>【【出】death note快闪夜神月吧唧】</t>
  </si>
  <si>
    <t>https://m.tb.cn/h.8glbxOP</t>
  </si>
  <si>
    <t>MKT-014</t>
  </si>
  <si>
    <t>MKT-014.png</t>
  </si>
  <si>
    <t>【【出】名古屋快闪死亡笔记】</t>
  </si>
  <si>
    <t>https://m.tb.cn/h.8TobcaQ</t>
  </si>
  <si>
    <t>MKT-015</t>
  </si>
  <si>
    <t>MKT-015.png</t>
  </si>
  <si>
    <t>【夜神月弥海砂吧唧，线下db产物，皆有原袋，不包官伤，两个70】</t>
  </si>
  <si>
    <t>https://m.tb.cn/h.8hZl5VV</t>
  </si>
  <si>
    <t>Bundled sale; unit price unclear</t>
  </si>
  <si>
    <t>MKT-016</t>
  </si>
  <si>
    <t>MKT-016.png</t>
  </si>
  <si>
    <t>【死亡笔记L侧脸吧唧，名古屋快闪限定款】</t>
  </si>
  <si>
    <t>https://m.tb.cn/h.8hZSrSv</t>
  </si>
  <si>
    <t>MKT-017</t>
  </si>
  <si>
    <t>MKT-017.png</t>
  </si>
  <si>
    <t>【DNL侧脸吧唧】</t>
  </si>
  <si>
    <t>https://m.tb.cn/h.8gl2SyE</t>
  </si>
  <si>
    <t>MKT-018</t>
  </si>
  <si>
    <t>MKT-018.png</t>
  </si>
  <si>
    <t>【Death Note L侧脸吧唧 正版】</t>
  </si>
  <si>
    <t>https://m.tb.cn/h.8To2L35</t>
  </si>
  <si>
    <t>MKT-019</t>
  </si>
  <si>
    <t>MKT-019.png</t>
  </si>
  <si>
    <t>【DEATHNOTE DN名古屋快闪L吧唧】</t>
  </si>
  <si>
    <t>https://m.tb.cn/h.8hawTxv</t>
  </si>
  <si>
    <t>MKT-020</t>
  </si>
  <si>
    <t>MKT-020.png</t>
  </si>
  <si>
    <t>【死亡笔记 L 名古屋吧唧】</t>
  </si>
  <si>
    <t>https://m.tb.cn/h.7gPLTuJ</t>
  </si>
  <si>
    <t>2026-08-07</t>
  </si>
  <si>
    <t>MKT-021</t>
  </si>
  <si>
    <t>MKT-021.png</t>
  </si>
  <si>
    <t>https://m.tb.cn/h.8gPLTuJ</t>
  </si>
  <si>
    <t>2026-08-08</t>
  </si>
  <si>
    <t>MKT-022</t>
  </si>
  <si>
    <t>MKT-022.png</t>
  </si>
  <si>
    <t>【全新L名古屋快闪吧唧，死亡笔记角色L，线下抽的，有原袋，保存】</t>
  </si>
  <si>
    <t>https://m.tb.cn/h.8hawF47</t>
  </si>
  <si>
    <t>MKT-023</t>
  </si>
  <si>
    <t>MKT-023.png</t>
  </si>
  <si>
    <t>【死亡笔记L名古屋快闪吧唧】</t>
  </si>
  <si>
    <t>https://m.tb.cn/h.8TMobzc</t>
  </si>
  <si>
    <t>MKT-024</t>
  </si>
  <si>
    <t>MKT-024.png</t>
  </si>
  <si>
    <t>【死亡笔记名古屋快闪吧唧L】</t>
  </si>
  <si>
    <t>https://m.tb.cn/h.8TMokXh</t>
  </si>
  <si>
    <t>MKT-025</t>
  </si>
  <si>
    <t>MKT-025.png</t>
  </si>
  <si>
    <t>【【出】死亡笔记 deathnote 名古屋快闪原画磨砂吧唧 有原】</t>
  </si>
  <si>
    <t>https://m.tb.cn/h.8haxvWj</t>
  </si>
  <si>
    <t>MKT-026</t>
  </si>
  <si>
    <t>MKT-026.png</t>
  </si>
  <si>
    <t>【死亡笔记 名古屋快闪 池袋快闪 parco 吧唧】</t>
  </si>
  <si>
    <t>https://m.tb.cn/h.8TMpM3x</t>
  </si>
  <si>
    <t>MKT-027</t>
  </si>
  <si>
    <t>MKT-027.png</t>
  </si>
  <si>
    <t>【【出】死亡笔记deathnote名古屋快闪原画磨砂吧唧 有原】</t>
  </si>
  <si>
    <t>https://m.tb.cn/h.85lUsxU</t>
  </si>
  <si>
    <t>MKT-028</t>
  </si>
  <si>
    <t>MKT-028.png</t>
  </si>
  <si>
    <t>【【出】死亡笔记池袋快闪吧唧 L】</t>
  </si>
  <si>
    <t>https://m.tb.cn/h.85l5KPI</t>
  </si>
  <si>
    <t>MKT-029</t>
  </si>
  <si>
    <t>MKT-029.png</t>
  </si>
  <si>
    <t>【出死亡笔记L原画吧唧4个150r】</t>
  </si>
  <si>
    <t>https://m.tb.cn/h.8glcWxM</t>
  </si>
  <si>
    <t>MKT-030</t>
  </si>
  <si>
    <t>MKT-030.png</t>
  </si>
  <si>
    <t>【出 dn名古屋L，弥海砂，梅洛吧唧，都有原袋】</t>
  </si>
  <si>
    <t>https://m.tb.cn/h.8To48w5</t>
  </si>
  <si>
    <t>2026-08-06</t>
  </si>
  <si>
    <t>Sealed, new / original bag</t>
  </si>
  <si>
    <t>MKT-031</t>
  </si>
  <si>
    <t>MKT-031.png</t>
  </si>
  <si>
    <t>https://m.tb.cn/h.8To48w6</t>
  </si>
  <si>
    <t>MKT-032</t>
  </si>
  <si>
    <t>MKT-032.png</t>
  </si>
  <si>
    <t>https://m.tb.cn/h.8To48w7</t>
  </si>
  <si>
    <t>MKT-033</t>
  </si>
  <si>
    <t>MKT-033.png</t>
  </si>
  <si>
    <t>【死亡笔记 弥海砂名古屋快闪原画吧唧，全新未拆，有原包装。日版】</t>
  </si>
  <si>
    <t>https://m.tb.cn/h.85lka0J</t>
  </si>
  <si>
    <t>MKT-034</t>
  </si>
  <si>
    <t>MKT-034.png</t>
  </si>
  <si>
    <t>【弥海砂名古屋快闪吧唧 总共标价11个】</t>
  </si>
  <si>
    <t>https://m.tb.cn/h.8hZelaw</t>
  </si>
  <si>
    <t>MKT-035</t>
  </si>
  <si>
    <t>MKT-035.png</t>
  </si>
  <si>
    <t>【死亡笔记弥海砂吧唧】</t>
  </si>
  <si>
    <t>https://m.tb.cn/h.8TMC7lv</t>
  </si>
  <si>
    <t>MKT-036</t>
  </si>
  <si>
    <t>MKT-036.png</t>
  </si>
  <si>
    <t>【出】deathnote死亡笔记，弥海砂misa名古屋吧唧】</t>
  </si>
  <si>
    <t>https://m.tb.cn/h.85lrZ1E</t>
  </si>
  <si>
    <t>MKT-037</t>
  </si>
  <si>
    <t>MKT-037.png</t>
  </si>
  <si>
    <t>【出 死亡笔记 dn名古屋弥海砂吧唧】</t>
  </si>
  <si>
    <t>https://m.tb.cn/h.8To3Rip</t>
  </si>
  <si>
    <t>MKT-038</t>
  </si>
  <si>
    <t>MKT-038.png</t>
  </si>
  <si>
    <t>【deathnote弥海砂misa名古屋吧唧】</t>
  </si>
  <si>
    <t>https://m.tb.cn/h.8hZk6KB</t>
  </si>
  <si>
    <t>MKT-039</t>
  </si>
  <si>
    <t>MKT-039.png</t>
  </si>
  <si>
    <t>【死亡笔记名古屋快闪吧唧 弥海砂】</t>
  </si>
  <si>
    <t>https://m.tb.cn/h.8hZknNa</t>
  </si>
  <si>
    <t>MKT-040</t>
  </si>
  <si>
    <t>MKT-040.png</t>
  </si>
  <si>
    <t>【出】dn名古屋弥海砂吧唧】</t>
  </si>
  <si>
    <t>https://m.tb.cn/h.85lItEU</t>
  </si>
  <si>
    <t>MKT-041</t>
  </si>
  <si>
    <t>MKT-041.png</t>
  </si>
  <si>
    <t>【标价直拍】DN名古屋 弥海砂吧唧】</t>
  </si>
  <si>
    <t>https://m.tb.cn/h.8hZPjYT</t>
  </si>
  <si>
    <t>MKT-042</t>
  </si>
  <si>
    <t>MKT-042.png</t>
  </si>
  <si>
    <t>【出】死亡笔记 dn名古屋快闪限定吧唧 弥海砂 L】</t>
  </si>
  <si>
    <t>https://m.tb.cn/h.85lH4Br</t>
  </si>
  <si>
    <t>MKT-043</t>
  </si>
  <si>
    <t>MKT-043.png</t>
  </si>
  <si>
    <t>https://m.tb.cn/h.85lH5Br</t>
  </si>
  <si>
    <t>MKT-044</t>
  </si>
  <si>
    <t>MKT-044.png</t>
  </si>
  <si>
    <t>【包邮出】死亡笔记 尼亚名古屋快闪原画吧唧 日版正品】</t>
  </si>
  <si>
    <t>https://m.tb.cn/h.8hZ1K1W</t>
  </si>
  <si>
    <t>MKT-045</t>
  </si>
  <si>
    <t>MKT-045.png</t>
  </si>
  <si>
    <t>【【国现】死亡笔记 尼亚 池袋parco吧唧】</t>
  </si>
  <si>
    <t>https://m.tb.cn/h.8hZ1foc</t>
  </si>
  <si>
    <t>MKT-046</t>
  </si>
  <si>
    <t>MKT-046.png</t>
  </si>
  <si>
    <t>【死亡笔记名古屋快闪 尼亚】</t>
  </si>
  <si>
    <t>https://m.tb.cn/h.8hZ1CJu</t>
  </si>
  <si>
    <t>MKT-047</t>
  </si>
  <si>
    <t>MKT-047.png</t>
  </si>
  <si>
    <t>【【出】death+note+死亡笔记尼亚名古屋快闪吧唧】</t>
  </si>
  <si>
    <t>https://m.tb.cn/h.8gPFmmg</t>
  </si>
  <si>
    <t>MKT-048</t>
  </si>
  <si>
    <t>MKT-048.png</t>
  </si>
  <si>
    <t>【死亡笔记尼亚角色名古屋快闪限定吧唧，原袋封装，表面无磨损】</t>
  </si>
  <si>
    <t>https://m.tb.cn/h.8TMFYvq</t>
  </si>
  <si>
    <t>MKT-049</t>
  </si>
  <si>
    <t>MKT-049.png</t>
  </si>
  <si>
    <t>【【出】尼亚名古屋快闪吧唧】</t>
  </si>
  <si>
    <t>https://m.tb.cn/h.8gPFpp3</t>
  </si>
  <si>
    <t>MKT-050</t>
  </si>
  <si>
    <t>MKT-050.png</t>
  </si>
  <si>
    <t>【【包邮出】死亡笔记 尼亚 池袋parco吧唧】</t>
  </si>
  <si>
    <t>https://m.tb.cn/h.8TMv6ks</t>
  </si>
  <si>
    <t>MKT-051</t>
  </si>
  <si>
    <t>MKT-051.png</t>
  </si>
  <si>
    <t>【出】尼亚 M praco快闪 正脸吧唧】</t>
  </si>
  <si>
    <t>https://m.tb.cn/h.8hZ1jhd</t>
  </si>
  <si>
    <t>MKT-052</t>
  </si>
  <si>
    <t>MKT-052.png</t>
  </si>
  <si>
    <t>https://m.tb.cn/h.8hZ2jhd</t>
  </si>
  <si>
    <t>MKT-053</t>
  </si>
  <si>
    <t>MKT-053.png</t>
  </si>
  <si>
    <t>【Death Note周边 日谷 名古屋快闪吧唧 尼亚】</t>
  </si>
  <si>
    <t>https://m.tb.cn/h.8gPwdCB</t>
  </si>
  <si>
    <t>MKT-054</t>
  </si>
  <si>
    <t>MKT-054.png</t>
  </si>
  <si>
    <t>【【现货包邮】死亡笔记名古屋快闪吧唧 尼亚款，日谷出品。全新未】</t>
  </si>
  <si>
    <t>https://m.tb.cn/h.8hZdtsP</t>
  </si>
  <si>
    <t>MKT-055</t>
  </si>
  <si>
    <t>MKT-055.png</t>
  </si>
  <si>
    <t>【【出】死亡笔记尼亚快闪吧唧】</t>
  </si>
  <si>
    <t>https://m.tb.cn/h.85l9YGK</t>
  </si>
  <si>
    <t>MKT-056</t>
  </si>
  <si>
    <t>MKT-056.png</t>
  </si>
  <si>
    <t>【【出】死亡笔记 deathnote名古屋池袋快闪吧唧 尼亚】</t>
  </si>
  <si>
    <t>https://m.tb.cn/h.85lQCY0</t>
  </si>
  <si>
    <t>MKT-057</t>
  </si>
  <si>
    <t>MKT-057.png</t>
  </si>
  <si>
    <t>【出 / 换】尼亚 / 弥海砂misa名古屋快闪，包非偏。可换L或梅】</t>
  </si>
  <si>
    <t>https://m.tb.cn/h.7TMAbor</t>
  </si>
  <si>
    <t>MKT-058</t>
  </si>
  <si>
    <t>MKT-058.png</t>
  </si>
  <si>
    <t>https://m.tb.cn/h.8TMAbor</t>
  </si>
  <si>
    <t>MKT-059</t>
  </si>
  <si>
    <t>MKT-059.png</t>
  </si>
  <si>
    <t>【国现可直拍包非偏】死亡笔记名古屋快闪徽章 弥海砂正脸吧唧</t>
  </si>
  <si>
    <t xml:space="preserve">https://m.tb.cn/h.8h8sTgw </t>
  </si>
  <si>
    <t>MKT-060</t>
  </si>
  <si>
    <t>MKT-060.png</t>
  </si>
  <si>
    <t>https://m.tb.cn/h.8h9sTgw</t>
  </si>
  <si>
    <t>MKT-061</t>
  </si>
  <si>
    <t>MKT-061.png</t>
  </si>
  <si>
    <t>死亡笔记 夜神月名古屋快闪吧唧</t>
  </si>
  <si>
    <t>https://m.tb.cn/h.8h8uM3E</t>
  </si>
  <si>
    <t>MKT-062</t>
  </si>
  <si>
    <t>MKT-062.png</t>
  </si>
  <si>
    <t>https://m.tb.cn/h.8h8uM4E</t>
  </si>
  <si>
    <t>MKT-063</t>
  </si>
  <si>
    <t>MKT-063.png</t>
  </si>
  <si>
    <t>【可直拍】死亡笔记名古屋快闪吧唧 夜神月</t>
  </si>
  <si>
    <t>https://m.tb.cn/h.8iBaM4L</t>
  </si>
  <si>
    <t>MKT-064</t>
  </si>
  <si>
    <t>MKT-064.png</t>
  </si>
  <si>
    <t>https://m.tb.cn/h.8iBaM5L</t>
  </si>
  <si>
    <t>MKT-065</t>
  </si>
  <si>
    <t>MKT-065.png</t>
  </si>
  <si>
    <t>【包邮】死亡笔记名古屋快闪</t>
  </si>
  <si>
    <t>https://m.tb.cn/h.8iBZjh0</t>
  </si>
  <si>
    <t>MKT-066</t>
  </si>
  <si>
    <t>MKT-066.png</t>
  </si>
  <si>
    <t>【出】名古屋快闪死亡笔记</t>
  </si>
  <si>
    <t>https://m.tb.cn/h.8iBZ5GM</t>
  </si>
  <si>
    <t>MKT-067</t>
  </si>
  <si>
    <t>MKT-067.png</t>
  </si>
  <si>
    <t>【全新L名古屋快闪吧唧，死亡笔记</t>
  </si>
  <si>
    <t>https://m.tb.cn/h.8h8wStM</t>
  </si>
  <si>
    <t>MKT-068</t>
  </si>
  <si>
    <t>MKT-068.png</t>
  </si>
  <si>
    <t>出 死亡笔记弥海砂吧唧 4枚90</t>
  </si>
  <si>
    <t>https://m.tb.cn/h.7hjdpTT</t>
  </si>
  <si>
    <t>MKT-069</t>
  </si>
  <si>
    <t>MKT-069.png</t>
  </si>
  <si>
    <t>https://m.tb.cn/h.8hjdpTT</t>
  </si>
  <si>
    <t>MKT-070</t>
  </si>
  <si>
    <t>MKT-070.png</t>
  </si>
  <si>
    <t>出【死亡笔记death note】名古屋快闪吧唧</t>
  </si>
  <si>
    <t>https://m.tb.cn/h.8SR78Gp</t>
  </si>
  <si>
    <t>MKT-071</t>
  </si>
  <si>
    <t>MKT-071.png</t>
  </si>
  <si>
    <t>https://m.tb.cn/h.8SR79Gp</t>
  </si>
  <si>
    <t>MKT-072</t>
  </si>
  <si>
    <t>MKT-072.png</t>
  </si>
  <si>
    <t>【标价两个可直拍】死亡笔记deathnote名古屋快闪原画磨</t>
  </si>
  <si>
    <t>https://m.tb.cn/h.8iB5abQ</t>
  </si>
  <si>
    <t>MKT-073</t>
  </si>
  <si>
    <t>MKT-073.png</t>
  </si>
  <si>
    <t>https://m.tb.cn/h.8iB6abQ</t>
  </si>
  <si>
    <t>MKT-074</t>
  </si>
  <si>
    <t>MKT-074.png</t>
  </si>
  <si>
    <t>全新L名古屋快闪吧唧，死亡笔记角色L，线下抽的，有原袋，保存</t>
  </si>
  <si>
    <t>MKT-075</t>
  </si>
  <si>
    <t>MKT-075.png</t>
  </si>
  <si>
    <t>死亡笔记L名古屋快闪吧唧</t>
  </si>
  <si>
    <t>https://m.tb.cn/h.8h8wJwX</t>
  </si>
  <si>
    <t>MKT-076</t>
  </si>
  <si>
    <t>MKT-076.png</t>
  </si>
  <si>
    <t>名古屋快闪原画L正脸吧唧 有原袋</t>
  </si>
  <si>
    <t>https://m.tb.cn/h.8iB1Vs7</t>
  </si>
  <si>
    <t>MKT-077</t>
  </si>
  <si>
    <t>MKT-077.png</t>
  </si>
  <si>
    <t>死亡笔记 L侧脸吧唧，名古屋快闪限定款</t>
  </si>
  <si>
    <t>https://m.tb.cn/h.8SsANYr</t>
  </si>
  <si>
    <t>2026-08-14</t>
  </si>
  <si>
    <t>MKT-078</t>
  </si>
  <si>
    <t>MKT-078.png</t>
  </si>
  <si>
    <t>Death Note L侧脸吧唧 正版</t>
  </si>
  <si>
    <t>https://m.tb.cn/h.8SHZ6VI</t>
  </si>
  <si>
    <t>MKT-079</t>
  </si>
  <si>
    <t>MKT-079.png</t>
  </si>
  <si>
    <t>【帮诡秘挂】出 dn deathnote L 名古屋快闪店限定</t>
  </si>
  <si>
    <t>https://m.tb.cn/h.8htvaF5</t>
  </si>
  <si>
    <t>MKT-080</t>
  </si>
  <si>
    <t>MKT-080.png</t>
  </si>
  <si>
    <t>L侧脸吧唧</t>
  </si>
  <si>
    <t>https://m.tb.cn/h.87DVwGw</t>
  </si>
  <si>
    <t>MKT-081</t>
  </si>
  <si>
    <t>MKT-081.png</t>
  </si>
  <si>
    <t>死亡笔记 弥海砂名古屋快闪原画吧唧，全新未拆，有原包装。日版</t>
  </si>
  <si>
    <t>https://m.tb.cn/h.8RT59yw</t>
  </si>
  <si>
    <t>MKT-082</t>
  </si>
  <si>
    <t>MKT-082.png</t>
  </si>
  <si>
    <t>【出】死亡笔记 弥海砂吧唧</t>
  </si>
  <si>
    <t>https://m.tb.cn/h.8SHfaWd</t>
  </si>
  <si>
    <t>MKT-083</t>
  </si>
  <si>
    <t>MKT-083.png</t>
  </si>
  <si>
    <t>【可直拍】死亡笔记弥海砂名古屋快闪原画吧唧</t>
  </si>
  <si>
    <t>https://m.tb.cn/h.8SH2iZy</t>
  </si>
  <si>
    <t>MKT-084</t>
  </si>
  <si>
    <t>MKT-084.png</t>
  </si>
  <si>
    <t>死亡笔记 名古屋快闪吧唧 夜神月</t>
  </si>
  <si>
    <t>https://m.tb.cn/h.8RTa5G8</t>
  </si>
  <si>
    <t>MKT-085</t>
  </si>
  <si>
    <t>MKT-085.png</t>
  </si>
  <si>
    <t>【出】死亡笔记 My Dear Light 快闪吧唧 夜神月</t>
  </si>
  <si>
    <t>https://m.tb.cn/h.8SsCG8M</t>
  </si>
  <si>
    <t>MKT-086</t>
  </si>
  <si>
    <t>MKT-086.png</t>
  </si>
  <si>
    <t>标价死亡笔记名古屋快闪夜神月侧脸</t>
  </si>
  <si>
    <t>https://m.tb.cn/h.87Db9No</t>
  </si>
  <si>
    <t>MKT-087</t>
  </si>
  <si>
    <t>MKT-087.png</t>
  </si>
  <si>
    <t>(可直拍) 出夜神月名古屋快闪吧唧一对110不包，原包装都在</t>
  </si>
  <si>
    <t>https://m.tb.cn/h.8htKgX0</t>
  </si>
  <si>
    <t>MKT-088</t>
  </si>
  <si>
    <t>MKT-088.png</t>
  </si>
  <si>
    <t>https://m.tb.cn/h.8Ssxefc</t>
  </si>
  <si>
    <t>MKT-089</t>
  </si>
  <si>
    <t>MKT-089.png</t>
  </si>
  <si>
    <t>【出死亡笔记弥海砂名古屋快闪吧唧，可直拍】</t>
  </si>
  <si>
    <t>https://m.tb.cn/h.87D9x2x</t>
  </si>
  <si>
    <t>MKT-090</t>
  </si>
  <si>
    <t>MKT-090.png</t>
  </si>
  <si>
    <t>【出】dn 名古屋弥海砂吧唧</t>
  </si>
  <si>
    <t>https://m.tb.cn/h.8RT87Rt</t>
  </si>
  <si>
    <t>MKT-091</t>
  </si>
  <si>
    <t>MKT-091.png</t>
  </si>
  <si>
    <t>死亡笔记尼亚名古屋快闪吧唧</t>
  </si>
  <si>
    <t>https://m.tb.cn/h.8SHTg8I</t>
  </si>
  <si>
    <t>MKT-092</t>
  </si>
  <si>
    <t>MKT-092.png</t>
  </si>
  <si>
    <t>L 日谷立牌：有原装袋子，75</t>
  </si>
  <si>
    <t>https://m.tb.cn/h.8htHALG</t>
  </si>
  <si>
    <t>MKT-093</t>
  </si>
  <si>
    <t>MKT-093.png</t>
  </si>
  <si>
    <t>标价包邮出死亡笔记弥海砂-丸井快闪金属吧唧</t>
  </si>
  <si>
    <t>https://m.tb.cn/h.87D75Tp</t>
  </si>
  <si>
    <t>MKT-094</t>
  </si>
  <si>
    <t>MKT-094.png</t>
  </si>
  <si>
    <t>死亡笔记deathnote 弥海砂吧唧 密逃原画展</t>
  </si>
  <si>
    <t>https://m.tb.cn/h.8RTgf0G</t>
  </si>
  <si>
    <t>MKT-095</t>
  </si>
  <si>
    <t>MKT-095.png</t>
  </si>
  <si>
    <t>【2个包邮】</t>
  </si>
  <si>
    <t>https://m.tb.cn/h.8hGa37b</t>
  </si>
  <si>
    <t>MKT-096</t>
  </si>
  <si>
    <t>MKT-096.png</t>
  </si>
  <si>
    <t>死亡笔记L原画展个人池30</t>
  </si>
  <si>
    <t>https://m.tb.cn/h.87D4z4E</t>
  </si>
  <si>
    <t>MKT-097</t>
  </si>
  <si>
    <t>MKT-097.png</t>
  </si>
  <si>
    <t>【国现】死亡笔记抽赏 dn抽赏 梅洛吧唧钥匙扣立牌特典</t>
  </si>
  <si>
    <t>https://m.tb.cn/h.8htxwz8</t>
  </si>
  <si>
    <t>MKT-098</t>
  </si>
  <si>
    <t>MKT-098.png</t>
  </si>
  <si>
    <t>【标价一个，包非偏，可直拍】</t>
  </si>
  <si>
    <t>https://m.tb.cn/h.8htBflb</t>
  </si>
  <si>
    <t>MKT-099</t>
  </si>
  <si>
    <t>MKT-099.png</t>
  </si>
  <si>
    <t>【死亡笔记】</t>
  </si>
  <si>
    <t>https://m.tb.cn/h.8htH4tc</t>
  </si>
  <si>
    <t>MKT-100</t>
  </si>
  <si>
    <t>MKT-100.png</t>
  </si>
  <si>
    <t>死笔death note新快闪 名古屋大阪丸井原画快闪</t>
  </si>
  <si>
    <t>https://m.tb.cn/h.87DYxcs</t>
  </si>
  <si>
    <t>MKT-101</t>
  </si>
  <si>
    <t>MKT-101.png</t>
  </si>
  <si>
    <t>出 死笔death note新快闪 名古屋大阪丸井原画快闪吧</t>
  </si>
  <si>
    <t>https://m.tb.cn/h.8SsDS4I</t>
  </si>
  <si>
    <t>MKT-102</t>
  </si>
  <si>
    <t>MKT-102.png</t>
  </si>
  <si>
    <t>【可拆出】Death Note名古屋快闪吧唧 L 夜神月 尼</t>
  </si>
  <si>
    <t>https://m.tb.cn/h.8SC1ypy</t>
  </si>
  <si>
    <t>2026-08-12</t>
  </si>
  <si>
    <t>MKT-103</t>
  </si>
  <si>
    <t>MKT-103.png</t>
  </si>
  <si>
    <t>https://m.tb.cn/h.8SC2ypy</t>
  </si>
  <si>
    <t>2026-08-13</t>
  </si>
  <si>
    <t>MKT-104</t>
  </si>
  <si>
    <t>MKT-104.png</t>
  </si>
  <si>
    <t>https://m.tb.cn/h.8SC3ypy</t>
  </si>
  <si>
    <t>MKT-105</t>
  </si>
  <si>
    <t>MKT-105.png</t>
  </si>
  <si>
    <t>https://m.tb.cn/h.8SC4ypy</t>
  </si>
  <si>
    <t>2026-08-15</t>
  </si>
  <si>
    <t>MKT-106</t>
  </si>
  <si>
    <t>MKT-106.png</t>
  </si>
  <si>
    <t>https://m.tb.cn/h.8SC5ypy</t>
  </si>
  <si>
    <t>2026-08-16</t>
  </si>
  <si>
    <t>MKT-107</t>
  </si>
  <si>
    <t>MKT-107.png</t>
  </si>
  <si>
    <t>标价出 死亡笔记名古屋快闪</t>
  </si>
  <si>
    <t>https://m.tb.cn/h.8R01RYz</t>
  </si>
  <si>
    <t>MKT-108</t>
  </si>
  <si>
    <t>MKT-108.png</t>
  </si>
  <si>
    <t>出死亡笔记DeathNote 名古屋池袋快闪吧唧夜神月梅洛</t>
  </si>
  <si>
    <t>https://m.tb.cn/h.87DUUUl?tk=RDTTTbxFLz4</t>
  </si>
  <si>
    <t>MKT-109</t>
  </si>
  <si>
    <t>MKT-109.png</t>
  </si>
  <si>
    <t>https://m.tb.cn/h.87DUUUl?tk=RDTTTbxFLz5</t>
  </si>
  <si>
    <t>MKT-110</t>
  </si>
  <si>
    <t>MKT-110.png</t>
  </si>
  <si>
    <t>【现货包邮】死亡笔记 DN名古屋快闪吧唧</t>
  </si>
  <si>
    <t>https://m.tb.cn/h.88jthWI</t>
  </si>
  <si>
    <t>MKT-111</t>
  </si>
  <si>
    <t>MKT-111.png</t>
  </si>
  <si>
    <t>MKT-112</t>
  </si>
  <si>
    <t>MKT-112.png</t>
  </si>
  <si>
    <t>MKT-113</t>
  </si>
  <si>
    <t>MKT-113.png</t>
  </si>
  <si>
    <t>MKT-114</t>
  </si>
  <si>
    <t>MKT-114.png</t>
  </si>
  <si>
    <t>MKT-115</t>
  </si>
  <si>
    <t>MKT-115.png</t>
  </si>
  <si>
    <t>MKT-116</t>
  </si>
  <si>
    <t>MKT-116.png</t>
  </si>
  <si>
    <t>MKT-117</t>
  </si>
  <si>
    <t>MKT-117.png</t>
  </si>
  <si>
    <t>MKT-118</t>
  </si>
  <si>
    <t>MKT-118.png</t>
  </si>
  <si>
    <t>【出】死亡笔记 dn deathnote 名古屋池袋快闪</t>
  </si>
  <si>
    <t>https://m.tb.cn/h.8R0XHid</t>
  </si>
  <si>
    <t>MKT-119</t>
  </si>
  <si>
    <t>MKT-119.png</t>
  </si>
  <si>
    <t>MKT-120</t>
  </si>
  <si>
    <t>MKT-120.png</t>
  </si>
  <si>
    <t>MKT-121</t>
  </si>
  <si>
    <t>MKT-121.png</t>
  </si>
  <si>
    <t>MKT-122</t>
  </si>
  <si>
    <t>MKT-122.png</t>
  </si>
  <si>
    <t>MKT-123</t>
  </si>
  <si>
    <t>MKT-123.png</t>
  </si>
  <si>
    <t>【非偏u4】死亡笔记parco快闪立牌 弥海砂 夜神月 名古屋</t>
  </si>
  <si>
    <t>https://m.tb.cn/h.8R0d8yE</t>
  </si>
  <si>
    <t>MKT-124</t>
  </si>
  <si>
    <t>MKT-124.png</t>
  </si>
  <si>
    <t>【非偏u5】死亡笔记parco快闪立牌 弥海砂 夜神月 名古屋</t>
  </si>
  <si>
    <t xml:space="preserve">https://m.tb.cn/h.8RFhwVB?tk=u68oT1xsi9k </t>
  </si>
  <si>
    <t>MKT-125</t>
  </si>
  <si>
    <t>MKT-125.png</t>
  </si>
  <si>
    <t>【非偏u6】死亡笔记parco快闪立牌 弥海砂 夜神月 名古屋</t>
  </si>
  <si>
    <t>https://m.tb.cn/h.8RF9nKg?tk=j131T1xEWxD</t>
  </si>
  <si>
    <t>MKT-126</t>
  </si>
  <si>
    <t>MKT-126.png</t>
  </si>
  <si>
    <t>【非偏u7】死亡笔记parco快闪立牌 弥海砂 夜神月 名古屋</t>
  </si>
  <si>
    <t>https://m.tb.cn/h.8QijQQb?tk=3UzNT1C66mV</t>
  </si>
  <si>
    <t>MKT-127</t>
  </si>
  <si>
    <t>MKT-127.png</t>
  </si>
  <si>
    <t>【非偏u8】死亡笔记parco快闪立牌 弥海砂 夜神月 名古屋</t>
  </si>
  <si>
    <t>https://m.tb.cn/h.8QrhIjM?tk=mgOQTcfFQDJ</t>
  </si>
  <si>
    <t>2026-08-19</t>
  </si>
  <si>
    <t>MKT-128</t>
  </si>
  <si>
    <t>MKT-128.png</t>
  </si>
  <si>
    <t>出dn名古屋梅洛吧唧，都有原袋</t>
  </si>
  <si>
    <t>https://m.tb.cn/h.8QrhAdd?tk=32rSTcfETCB</t>
  </si>
  <si>
    <t>MKT-129</t>
  </si>
  <si>
    <t>MKT-129.png</t>
  </si>
  <si>
    <t>出dn名古屋梅洛吧唧，有原袋（原袋有污渍）</t>
  </si>
  <si>
    <t>https://m.tb.cn/h.8Qr7lor?tk=HJzwTcfwgZQ</t>
  </si>
  <si>
    <t>MKT-130</t>
  </si>
  <si>
    <t>MKT-130.png</t>
  </si>
  <si>
    <t>死亡笔记dn名古屋快闪梅洛 mello</t>
  </si>
  <si>
    <t>https://m.tb.cn/h.88dGGkT?tk=YrVVTcfEraZ</t>
  </si>
  <si>
    <t>MKT-131</t>
  </si>
  <si>
    <t>MKT-131.png</t>
  </si>
  <si>
    <t>https://m.tb.cn/h.88du7gS?tk=JREHTcfwVjN</t>
  </si>
  <si>
    <t>MKT-132</t>
  </si>
  <si>
    <t>MKT-132.png</t>
  </si>
  <si>
    <t>【出】death note名古屋快闪吧唧</t>
  </si>
  <si>
    <t>https://m.tb.cn/h.8Qr7sEs?tk=14I4TcfDQMS</t>
  </si>
  <si>
    <t>MKT-133</t>
  </si>
  <si>
    <t>MKT-133.png</t>
  </si>
  <si>
    <t>【出】死亡笔记death note梅洛名古屋快闪吧唧</t>
  </si>
  <si>
    <t>https://m.tb.cn/h.88dH51J?tk=gYY0TcfGKPO</t>
  </si>
  <si>
    <t>MKT-134</t>
  </si>
  <si>
    <t>MKT-134.png</t>
  </si>
  <si>
    <t>Duplicate Resale Data</t>
  </si>
  <si>
    <t>Resale Listing Price</t>
  </si>
  <si>
    <t>Expected Transaction Discount</t>
  </si>
  <si>
    <t>Expected Transaction Price</t>
  </si>
  <si>
    <t>Platform Commission Rate</t>
  </si>
  <si>
    <t>Seller-Paid Shipping</t>
  </si>
  <si>
    <t>Packaging Material Cost</t>
  </si>
  <si>
    <t>Net Income per Sale</t>
  </si>
  <si>
    <t>Expected Sale Probability λ_i</t>
  </si>
  <si>
    <t>Baseline Net Recovery Value r_i</t>
  </si>
  <si>
    <t>Shipping and Transaction Rules</t>
  </si>
  <si>
    <t>Rule Item</t>
  </si>
  <si>
    <t>Official Per-Order Shipping</t>
  </si>
  <si>
    <t>Offline venue 0; online restock not specified</t>
  </si>
  <si>
    <t>Official Bulk-Purchase Shipping</t>
  </si>
  <si>
    <t>Offline venue 0</t>
  </si>
  <si>
    <t>Official Free-Shipping Threshold</t>
  </si>
  <si>
    <t>No shipping offline; online not specified</t>
  </si>
  <si>
    <t>Common Buyer Shipping in Secondary Market</t>
  </si>
  <si>
    <t>Xianyu typically 6–12 CNY or free shipping</t>
  </si>
  <si>
    <t>Free-Shipping Ratio in Secondary Records</t>
  </si>
  <si>
    <t>About 56.9%</t>
  </si>
  <si>
    <t>Can Missing Characters Be Bought Together?</t>
  </si>
  <si>
    <t>One-Time Shipping for Combined Purchase</t>
  </si>
  <si>
    <t>Buyer Platform Fees</t>
  </si>
  <si>
    <t>Seller Platform Commission Rate</t>
  </si>
  <si>
    <t>Xianyu about 0.6%–1%;</t>
  </si>
  <si>
    <t>Who Pays Resale Shipping</t>
  </si>
  <si>
    <t>Seller</t>
  </si>
  <si>
    <t>Baseline Shipping Scenario</t>
  </si>
  <si>
    <t>Shipping charged per secondary-market order</t>
  </si>
  <si>
    <t>Low-Shipping Scenario</t>
  </si>
  <si>
    <t>All free shipping</t>
  </si>
  <si>
    <t>High-Shipping Scenario</t>
  </si>
  <si>
    <t>Add 12 CNY per character</t>
  </si>
  <si>
    <t>Transaction Rules Source URL</t>
  </si>
  <si>
    <t>Xianyu platform rules and sample observation</t>
  </si>
  <si>
    <t>Transaction Rules Evidence ID</t>
  </si>
  <si>
    <t>Data Quality Checklist</t>
  </si>
  <si>
    <t>Category</t>
  </si>
  <si>
    <t>Check Item</t>
  </si>
  <si>
    <t>Status</t>
  </si>
  <si>
    <t>Research Object</t>
  </si>
  <si>
    <t>All records belong to the same series</t>
  </si>
  <si>
    <t>Pass</t>
  </si>
  <si>
    <t>All records same product type and specs</t>
  </si>
  <si>
    <t>All records same release batch/version</t>
  </si>
  <si>
    <t>Sales Mechanism</t>
  </si>
  <si>
    <t>Confirmed independent random per pack</t>
  </si>
  <si>
    <t>Verified pity, no-duplicate box, and fixed box ratio</t>
  </si>
  <si>
    <t>Character Scope</t>
  </si>
  <si>
    <t>Target character list complete with clear boundaries</t>
  </si>
  <si>
    <t>Probability</t>
  </si>
  <si>
    <t>All target character probabilities are positive</t>
  </si>
  <si>
    <t>Sum of baseline probabilities equals 1</t>
  </si>
  <si>
    <t>Equal-probability basis stated when no official probs</t>
  </si>
  <si>
    <t>Sampling</t>
  </si>
  <si>
    <t>Same sampling time window for all characters</t>
  </si>
  <si>
    <t>Same sampling rules for all characters</t>
  </si>
  <si>
    <t>Valid record counts per character tabulated</t>
  </si>
  <si>
    <t>Price Definition</t>
  </si>
  <si>
    <t>Prices unified as actual landed cost</t>
  </si>
  <si>
    <t>Listing vs transaction price distinguished</t>
  </si>
  <si>
    <t>Cleaning</t>
  </si>
  <si>
    <t>Different versions/specs excluded or flagged</t>
  </si>
  <si>
    <t>Obvious defects excluded or flagged</t>
  </si>
  <si>
    <t>Bundled items excluded or flagged</t>
  </si>
  <si>
    <t>Purchase requests, bait prices, open auctions excluded</t>
  </si>
  <si>
    <t>Duplicate postings deduplicated</t>
  </si>
  <si>
    <t>Traceability</t>
  </si>
  <si>
    <t>Each valid record has link or screenshot</t>
  </si>
  <si>
    <t>Evidence ID matches screenshot file name</t>
  </si>
  <si>
    <t>All excluded records retain exclusion reasons</t>
  </si>
  <si>
    <t>Transaction Rules</t>
  </si>
  <si>
    <t>Shipping and platform fee rules unified</t>
  </si>
  <si>
    <t>Resale</t>
  </si>
  <si>
    <t>Duplicate recovery assumptions justified or set to 0</t>
  </si>
  <si>
    <t>Time</t>
  </si>
  <si>
    <t>All data records have collection dates</t>
  </si>
  <si>
    <t>Completeness</t>
  </si>
  <si>
    <t>Raw data not overwritten or deleted</t>
  </si>
  <si>
    <t>Data dictionary filled or confirmed</t>
  </si>
  <si>
    <t>Submission</t>
  </si>
  <si>
    <t>File naming and folder structure meet requirements</t>
  </si>
  <si>
    <t>Secondary-Market Data Collection Progress by Character</t>
  </si>
  <si>
    <t>Raw Record Count</t>
  </si>
  <si>
    <t>Valid Record Count</t>
  </si>
  <si>
    <t>Valid Records Missing Evidence</t>
  </si>
  <si>
    <t>Sample Assessment</t>
  </si>
  <si>
    <t>Data Dictionary: Field Definitions, Formats, and Examples</t>
  </si>
  <si>
    <t>Worksheet</t>
  </si>
  <si>
    <t>Definition</t>
  </si>
  <si>
    <t>Entry Format</t>
  </si>
  <si>
    <t>Allowed Values / Rules</t>
  </si>
  <si>
    <t>Use the full name from the official page</t>
  </si>
  <si>
    <t>Text / numeric / date</t>
  </si>
  <si>
    <t>Fill as instructed</t>
  </si>
  <si>
    <t>Related anime, game, or film/TV work</t>
  </si>
  <si>
    <t>Badge, card, standee, etc.</t>
  </si>
  <si>
    <t>Ensure consistent specs for later price records</t>
  </si>
  <si>
    <t>First edition, reprint, Vol.1, etc.</t>
  </si>
  <si>
    <t>Enter as YYYY-MM-DD</t>
  </si>
  <si>
    <t>Recommended 6–12; exclude explicitly out-of-scope designs</t>
  </si>
  <si>
    <t>Product price only; exclude shipping</t>
  </si>
  <si>
    <t>Official site, official store, or other formal channels</t>
  </si>
  <si>
    <t>State per-order shipping, combined shipping, or free-shipping rules</t>
  </si>
  <si>
    <t>Enter 0 if none</t>
  </si>
  <si>
    <t>Number of items in each random pack</t>
  </si>
  <si>
    <t>Base model requires "Yes"</t>
  </si>
  <si>
    <t>If yes, explain in detail</t>
  </si>
  <si>
    <t>If yes, base model needs adjustment</t>
  </si>
  <si>
    <t>If yes, must state handling method</t>
  </si>
  <si>
    <t>If hidden designs exist: include, treat as non-target, or model separately</t>
  </si>
  <si>
    <t>Yes or No</t>
  </si>
  <si>
    <t>If published, fill probability table or description</t>
  </si>
  <si>
    <t>Openable official page links</t>
  </si>
  <si>
    <t>Corresponding screenshot file name</t>
  </si>
  <si>
    <t>Explain why suitable for modeling and data collection</t>
  </si>
  <si>
    <t>Record unusual rules or restrictions</t>
  </si>
  <si>
    <t>Sequential character number</t>
  </si>
  <si>
    <t>Integer</t>
  </si>
  <si>
    <t>1–12</t>
  </si>
  <si>
    <t>Unified name of target character</t>
  </si>
  <si>
    <t>Text</t>
  </si>
  <si>
    <t>Must match secondary-market sheet exactly</t>
  </si>
  <si>
    <t>Whether counted in this study full set</t>
  </si>
  <si>
    <t>Dropdown</t>
  </si>
  <si>
    <t>Yes/No</t>
  </si>
  <si>
    <t>Distinguish standard, foil, etc.</t>
  </si>
  <si>
    <t>Same series and specs</t>
  </si>
  <si>
    <t>Official published draw probability</t>
  </si>
  <si>
    <t>Decimal</t>
  </si>
  <si>
    <t>0 to 1</t>
  </si>
  <si>
    <t>Probability actually used in the model</t>
  </si>
  <si>
    <t>Greater than 0 and sum to 1</t>
  </si>
  <si>
    <t>How probability is set</t>
  </si>
  <si>
    <t>Official / Equal / Sample estimate / Other</t>
  </si>
  <si>
    <t>Link to probability evidence</t>
  </si>
  <si>
    <t>URL</t>
  </si>
  <si>
    <t>Traceable</t>
  </si>
  <si>
    <t>Lower probability for sensitivity analysis</t>
  </si>
  <si>
    <t>Use after normalization</t>
  </si>
  <si>
    <t>Higher probability for sensitivity analysis</t>
  </si>
  <si>
    <t>Additional notes</t>
  </si>
  <si>
    <t>May leave blank</t>
  </si>
  <si>
    <t>Unique ID of each raw record</t>
  </si>
  <si>
    <t>Must not repeat</t>
  </si>
  <si>
    <t>Character corresponding to this record</t>
  </si>
  <si>
    <t>Must match character table</t>
  </si>
  <si>
    <t>Source platform</t>
  </si>
  <si>
    <t>Dropdown/Text</t>
  </si>
  <si>
    <t>Record consistently</t>
  </si>
  <si>
    <t>Original page title</t>
  </si>
  <si>
    <t>Keep as complete as possible</t>
  </si>
  <si>
    <t>Original page URL</t>
  </si>
  <si>
    <t>Openable or archived</t>
  </si>
  <si>
    <t>Date the page was viewed</t>
  </si>
  <si>
    <t>Date</t>
  </si>
  <si>
    <t>YYYY-MM-DD</t>
  </si>
  <si>
    <t>Price shown on the page</t>
  </si>
  <si>
    <t>Numeric</t>
  </si>
  <si>
    <t>Excluding shipping</t>
  </si>
  <si>
    <t>Whether seller covers shipping</t>
  </si>
  <si>
    <t>Shipping actually paid by buyer</t>
  </si>
  <si>
    <t>Enter 0 if free shipping</t>
  </si>
  <si>
    <t>Extra platform fees paid by buyer</t>
  </si>
  <si>
    <t>Listing price + buyer shipping + platform fees</t>
  </si>
  <si>
    <t>Formula</t>
  </si>
  <si>
    <t>Do not overwrite</t>
  </si>
  <si>
    <t>Quantity corresponding to this price</t>
  </si>
  <si>
    <t>At least 1</t>
  </si>
  <si>
    <t>Actual landed cost / quantity</t>
  </si>
  <si>
    <t>First edition, reprint, standard, etc.</t>
  </si>
  <si>
    <t>Consistent with research object</t>
  </si>
  <si>
    <t>Size and product type</t>
  </si>
  <si>
    <t>Item condition</t>
  </si>
  <si>
    <t>Use unified categories</t>
  </si>
  <si>
    <t>Whether this character can be bought alone</t>
  </si>
  <si>
    <t>Whether sold bundled with other items</t>
  </si>
  <si>
    <t>Whether clear test/bait price</t>
  </si>
  <si>
    <t>Keep/drop status after cleaning</t>
  </si>
  <si>
    <t>Required when not included</t>
  </si>
  <si>
    <t>Specific and clear</t>
  </si>
  <si>
    <t>Screenshot or file ID</t>
  </si>
  <si>
    <t>Match screenshot</t>
  </si>
  <si>
    <t>Evidence screenshot file name</t>
  </si>
  <si>
    <t>Recommend matching the ID</t>
  </si>
  <si>
    <t>Bargaining, urgent sale, etc.</t>
  </si>
  <si>
    <t>05_Shipping_Transaction_Rules</t>
  </si>
  <si>
    <t>Shipping when ordering alone</t>
  </si>
  <si>
    <t>Text/Numeric</t>
  </si>
  <si>
    <t>Fill when multiple items share one order</t>
  </si>
  <si>
    <t>Enter "None" if not applicable</t>
  </si>
  <si>
    <t>May follow common platform rules</t>
  </si>
  <si>
    <t>Estimate from valid samples</t>
  </si>
  <si>
    <t>Fill when answer is Yes</t>
  </si>
  <si>
    <t>Fill when studying resale</t>
  </si>
  <si>
    <t>Optional when studying resale</t>
  </si>
  <si>
    <t>State which rule set the main model uses</t>
  </si>
  <si>
    <t>For sensitivity analysis</t>
  </si>
  <si>
    <t>Platform rules or sampling basis</t>
  </si>
  <si>
    <t>Corresponding 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</si>
</sst>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000"/>
    <numFmt numFmtId="178" formatCode="0.000_ "/>
    <numFmt numFmtId="179" formatCode="0.0%"/>
  </numFmts>
  <fonts count="21">
    <font>
      <sz val="11"/>
      <name val="Carlito"/>
    </font>
    <font>
      <sz val="11"/>
      <name val="Carlito"/>
    </font>
    <font>
      <sz val="11"/>
      <color theme="10"/>
      <name val="Carlito"/>
    </font>
    <font>
      <b/>
      <sz val="16"/>
      <color rgb="FFFFFFFF"/>
      <name val="Aptos"/>
      <family val="2"/>
    </font>
    <font>
      <b/>
      <sz val="10"/>
      <color rgb="FFFFFFFF"/>
      <name val="Aptos"/>
      <family val="2"/>
    </font>
    <font>
      <b/>
      <sz val="10"/>
      <color rgb="FF25354A"/>
      <name val="Aptos"/>
      <family val="2"/>
    </font>
    <font>
      <sz val="10"/>
      <color rgb="FF25354A"/>
      <name val="Aptos"/>
      <family val="2"/>
    </font>
    <font>
      <b/>
      <sz val="10"/>
      <color rgb="FFA43F3F"/>
      <name val="Aptos"/>
      <family val="2"/>
    </font>
    <font>
      <b/>
      <sz val="10"/>
      <color rgb="FF946314"/>
      <name val="Aptos"/>
      <family val="2"/>
    </font>
    <font>
      <b/>
      <sz val="10"/>
      <color rgb="FF285E87"/>
      <name val="Aptos"/>
      <family val="2"/>
    </font>
    <font>
      <b/>
      <sz val="10"/>
      <color rgb="FF167F87"/>
      <name val="Aptos"/>
      <family val="2"/>
    </font>
    <font>
      <b/>
      <sz val="10"/>
      <color rgb="FF187347"/>
      <name val="Aptos"/>
      <family val="2"/>
    </font>
    <font>
      <b/>
      <sz val="10"/>
      <color rgb="FF17324F"/>
      <name val="Aptos"/>
      <family val="2"/>
    </font>
    <font>
      <b/>
      <sz val="12"/>
      <color rgb="FF17324F"/>
      <name val="Aptos"/>
      <family val="2"/>
    </font>
    <font>
      <sz val="10"/>
      <color rgb="FF285E87"/>
      <name val="Aptos"/>
      <family val="2"/>
    </font>
    <font>
      <sz val="9"/>
      <color rgb="FF285E87"/>
      <name val="Aptos"/>
      <family val="2"/>
    </font>
    <font>
      <sz val="10"/>
      <color rgb="FF50647A"/>
      <name val="Aptos"/>
      <family val="2"/>
    </font>
    <font>
      <sz val="9"/>
      <color rgb="FF17324F"/>
      <name val="Aptos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9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7324F"/>
      </patternFill>
    </fill>
    <fill>
      <patternFill patternType="solid">
        <fgColor rgb="FF285273"/>
      </patternFill>
    </fill>
    <fill>
      <patternFill patternType="solid">
        <fgColor rgb="FF167F87"/>
      </patternFill>
    </fill>
    <fill>
      <patternFill patternType="solid">
        <fgColor rgb="FFFCEDEC"/>
      </patternFill>
    </fill>
    <fill>
      <patternFill patternType="solid">
        <fgColor rgb="FFF7F9FC"/>
      </patternFill>
    </fill>
    <fill>
      <patternFill patternType="solid">
        <fgColor rgb="FFFFF5DF"/>
      </patternFill>
    </fill>
    <fill>
      <patternFill patternType="solid">
        <fgColor rgb="FFE9F3FC"/>
      </patternFill>
    </fill>
    <fill>
      <patternFill patternType="solid">
        <fgColor rgb="FFE9F7F6"/>
      </patternFill>
    </fill>
    <fill>
      <patternFill patternType="solid">
        <fgColor rgb="FFE8F5EF"/>
      </patternFill>
    </fill>
    <fill>
      <patternFill patternType="solid">
        <fgColor rgb="FFEAF1FA"/>
      </patternFill>
    </fill>
    <fill>
      <patternFill patternType="solid">
        <fgColor rgb="FF365B7C"/>
      </patternFill>
    </fill>
  </fills>
  <borders count="16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B4B4B4"/>
      </right>
      <top/>
      <bottom style="thin">
        <color rgb="FFB4B4B4"/>
      </bottom>
      <diagonal/>
    </border>
    <border>
      <left/>
      <right/>
      <top/>
      <bottom style="thin">
        <color rgb="FFA6A6A6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59">
    <xf numFmtId="0" fontId="0" fillId="0" borderId="0" xfId="0"/>
    <xf numFmtId="0" fontId="6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6" fillId="2" borderId="11" xfId="0" applyFont="1" applyFill="1" applyBorder="1" applyAlignment="1">
      <alignment vertical="center" wrapText="1"/>
    </xf>
    <xf numFmtId="176" fontId="6" fillId="2" borderId="0" xfId="0" applyNumberFormat="1" applyFont="1" applyFill="1" applyAlignment="1">
      <alignment vertical="center" wrapText="1"/>
    </xf>
    <xf numFmtId="1" fontId="6" fillId="2" borderId="0" xfId="0" applyNumberFormat="1" applyFont="1" applyFill="1" applyAlignment="1">
      <alignment vertical="center" wrapText="1"/>
    </xf>
    <xf numFmtId="2" fontId="6" fillId="2" borderId="0" xfId="0" applyNumberFormat="1" applyFont="1" applyFill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77" fontId="6" fillId="2" borderId="5" xfId="0" applyNumberFormat="1" applyFont="1" applyFill="1" applyBorder="1" applyAlignment="1">
      <alignment vertical="center" wrapText="1"/>
    </xf>
    <xf numFmtId="177" fontId="6" fillId="2" borderId="0" xfId="0" applyNumberFormat="1" applyFont="1" applyFill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76" fontId="6" fillId="2" borderId="5" xfId="0" applyNumberFormat="1" applyFont="1" applyFill="1" applyBorder="1" applyAlignment="1">
      <alignment vertical="center" wrapText="1"/>
    </xf>
    <xf numFmtId="2" fontId="6" fillId="2" borderId="5" xfId="0" applyNumberFormat="1" applyFont="1" applyFill="1" applyBorder="1" applyAlignment="1">
      <alignment vertical="center" wrapText="1"/>
    </xf>
    <xf numFmtId="176" fontId="6" fillId="2" borderId="0" xfId="0" applyNumberFormat="1" applyFont="1" applyFill="1" applyAlignment="1">
      <alignment horizontal="left" vertical="center" wrapText="1"/>
    </xf>
    <xf numFmtId="2" fontId="6" fillId="2" borderId="14" xfId="0" applyNumberFormat="1" applyFont="1" applyFill="1" applyBorder="1" applyAlignment="1">
      <alignment horizontal="center" vertical="center" wrapText="1"/>
    </xf>
    <xf numFmtId="176" fontId="6" fillId="2" borderId="10" xfId="0" applyNumberFormat="1" applyFont="1" applyFill="1" applyBorder="1" applyAlignment="1">
      <alignment vertical="center" wrapText="1"/>
    </xf>
    <xf numFmtId="9" fontId="6" fillId="2" borderId="5" xfId="0" applyNumberFormat="1" applyFont="1" applyFill="1" applyBorder="1" applyAlignment="1">
      <alignment vertical="center" wrapText="1"/>
    </xf>
    <xf numFmtId="179" fontId="6" fillId="2" borderId="5" xfId="0" applyNumberFormat="1" applyFont="1" applyFill="1" applyBorder="1" applyAlignment="1">
      <alignment vertical="center" wrapText="1"/>
    </xf>
    <xf numFmtId="9" fontId="6" fillId="2" borderId="0" xfId="0" applyNumberFormat="1" applyFont="1" applyFill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vertical="center" wrapText="1"/>
    </xf>
    <xf numFmtId="0" fontId="6" fillId="7" borderId="7" xfId="0" applyFont="1" applyFill="1" applyBorder="1" applyAlignment="1">
      <alignment vertical="center" wrapText="1"/>
    </xf>
    <xf numFmtId="0" fontId="6" fillId="7" borderId="8" xfId="0" applyFont="1" applyFill="1" applyBorder="1" applyAlignment="1">
      <alignment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vertical="center" wrapText="1"/>
    </xf>
    <xf numFmtId="0" fontId="6" fillId="7" borderId="9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vertical="center" wrapText="1"/>
    </xf>
    <xf numFmtId="0" fontId="10" fillId="10" borderId="9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vertical="center" wrapText="1"/>
    </xf>
    <xf numFmtId="0" fontId="11" fillId="11" borderId="5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11" fillId="11" borderId="10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3" fillId="12" borderId="0" xfId="0" applyFont="1" applyFill="1" applyAlignment="1">
      <alignment horizontal="center" vertical="center" wrapText="1"/>
    </xf>
    <xf numFmtId="0" fontId="13" fillId="12" borderId="10" xfId="0" applyFont="1" applyFill="1" applyBorder="1" applyAlignment="1">
      <alignment horizontal="center" vertical="center" wrapText="1"/>
    </xf>
    <xf numFmtId="176" fontId="6" fillId="7" borderId="0" xfId="0" applyNumberFormat="1" applyFont="1" applyFill="1" applyAlignment="1">
      <alignment vertical="center" wrapText="1"/>
    </xf>
    <xf numFmtId="2" fontId="6" fillId="7" borderId="0" xfId="0" applyNumberFormat="1" applyFont="1" applyFill="1" applyAlignment="1">
      <alignment vertical="center" wrapText="1"/>
    </xf>
    <xf numFmtId="0" fontId="12" fillId="2" borderId="5" xfId="0" applyFont="1" applyFill="1" applyBorder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12" fillId="7" borderId="10" xfId="0" applyFont="1" applyFill="1" applyBorder="1" applyAlignment="1">
      <alignment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177" fontId="6" fillId="7" borderId="5" xfId="0" applyNumberFormat="1" applyFont="1" applyFill="1" applyBorder="1" applyAlignment="1">
      <alignment vertical="center" wrapText="1"/>
    </xf>
    <xf numFmtId="177" fontId="6" fillId="7" borderId="0" xfId="0" applyNumberFormat="1" applyFont="1" applyFill="1" applyAlignment="1">
      <alignment vertical="center" wrapText="1"/>
    </xf>
    <xf numFmtId="0" fontId="12" fillId="12" borderId="4" xfId="0" applyFont="1" applyFill="1" applyBorder="1" applyAlignment="1">
      <alignment vertical="center" wrapText="1"/>
    </xf>
    <xf numFmtId="0" fontId="12" fillId="12" borderId="7" xfId="0" applyFont="1" applyFill="1" applyBorder="1" applyAlignment="1">
      <alignment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center" vertical="center" wrapText="1"/>
    </xf>
    <xf numFmtId="177" fontId="10" fillId="10" borderId="5" xfId="0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vertical="center" wrapText="1"/>
    </xf>
    <xf numFmtId="0" fontId="14" fillId="7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15" fillId="2" borderId="5" xfId="0" applyFont="1" applyFill="1" applyBorder="1" applyAlignment="1">
      <alignment vertical="center" wrapText="1"/>
    </xf>
    <xf numFmtId="0" fontId="15" fillId="7" borderId="0" xfId="0" applyFont="1" applyFill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2" fillId="12" borderId="9" xfId="0" applyFont="1" applyFill="1" applyBorder="1" applyAlignment="1">
      <alignment vertical="center" wrapText="1"/>
    </xf>
    <xf numFmtId="0" fontId="10" fillId="10" borderId="6" xfId="0" applyFont="1" applyFill="1" applyBorder="1" applyAlignment="1">
      <alignment horizontal="center" vertical="center" wrapText="1"/>
    </xf>
    <xf numFmtId="177" fontId="10" fillId="10" borderId="8" xfId="0" applyNumberFormat="1" applyFont="1" applyFill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vertical="center" wrapText="1"/>
    </xf>
    <xf numFmtId="176" fontId="6" fillId="7" borderId="0" xfId="0" applyNumberFormat="1" applyFont="1" applyFill="1" applyAlignment="1">
      <alignment horizontal="left" vertical="center" wrapText="1"/>
    </xf>
    <xf numFmtId="2" fontId="6" fillId="7" borderId="14" xfId="0" applyNumberFormat="1" applyFont="1" applyFill="1" applyBorder="1" applyAlignment="1">
      <alignment horizontal="center" vertical="center" wrapText="1"/>
    </xf>
    <xf numFmtId="176" fontId="6" fillId="7" borderId="5" xfId="0" applyNumberFormat="1" applyFont="1" applyFill="1" applyBorder="1" applyAlignment="1">
      <alignment vertical="center" wrapText="1"/>
    </xf>
    <xf numFmtId="2" fontId="6" fillId="7" borderId="5" xfId="0" applyNumberFormat="1" applyFont="1" applyFill="1" applyBorder="1" applyAlignment="1">
      <alignment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vertical="center" wrapText="1"/>
    </xf>
    <xf numFmtId="0" fontId="12" fillId="2" borderId="10" xfId="0" applyFont="1" applyFill="1" applyBorder="1" applyAlignment="1">
      <alignment vertical="center" wrapText="1"/>
    </xf>
    <xf numFmtId="0" fontId="14" fillId="2" borderId="10" xfId="0" applyFont="1" applyFill="1" applyBorder="1" applyAlignment="1">
      <alignment vertical="center" wrapText="1"/>
    </xf>
    <xf numFmtId="0" fontId="15" fillId="7" borderId="14" xfId="0" applyFont="1" applyFill="1" applyBorder="1" applyAlignment="1">
      <alignment horizontal="left" vertical="center" wrapText="1"/>
    </xf>
    <xf numFmtId="0" fontId="15" fillId="2" borderId="14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5" fillId="2" borderId="10" xfId="0" applyFont="1" applyFill="1" applyBorder="1" applyAlignment="1">
      <alignment vertical="center" wrapText="1"/>
    </xf>
    <xf numFmtId="2" fontId="10" fillId="10" borderId="5" xfId="0" applyNumberFormat="1" applyFont="1" applyFill="1" applyBorder="1" applyAlignment="1">
      <alignment vertical="center" wrapText="1"/>
    </xf>
    <xf numFmtId="2" fontId="10" fillId="10" borderId="0" xfId="0" applyNumberFormat="1" applyFont="1" applyFill="1" applyAlignment="1">
      <alignment vertical="center" wrapText="1"/>
    </xf>
    <xf numFmtId="2" fontId="10" fillId="10" borderId="10" xfId="0" applyNumberFormat="1" applyFont="1" applyFill="1" applyBorder="1" applyAlignment="1">
      <alignment vertical="center" wrapText="1"/>
    </xf>
    <xf numFmtId="0" fontId="14" fillId="7" borderId="5" xfId="0" applyFont="1" applyFill="1" applyBorder="1" applyAlignment="1">
      <alignment vertical="center" wrapText="1"/>
    </xf>
    <xf numFmtId="2" fontId="6" fillId="2" borderId="5" xfId="0" applyNumberFormat="1" applyFont="1" applyFill="1" applyBorder="1" applyAlignment="1">
      <alignment horizontal="center" vertical="center" wrapText="1"/>
    </xf>
    <xf numFmtId="2" fontId="6" fillId="7" borderId="0" xfId="0" applyNumberFormat="1" applyFont="1" applyFill="1" applyAlignment="1">
      <alignment horizontal="center" vertical="center" wrapText="1"/>
    </xf>
    <xf numFmtId="2" fontId="6" fillId="2" borderId="0" xfId="0" applyNumberFormat="1" applyFont="1" applyFill="1" applyAlignment="1">
      <alignment horizontal="center" vertical="center" wrapText="1"/>
    </xf>
    <xf numFmtId="2" fontId="6" fillId="7" borderId="5" xfId="0" applyNumberFormat="1" applyFont="1" applyFill="1" applyBorder="1" applyAlignment="1">
      <alignment horizontal="center" vertical="center" wrapText="1"/>
    </xf>
    <xf numFmtId="2" fontId="6" fillId="2" borderId="10" xfId="0" applyNumberFormat="1" applyFont="1" applyFill="1" applyBorder="1" applyAlignment="1">
      <alignment horizontal="center" vertical="center" wrapText="1"/>
    </xf>
    <xf numFmtId="2" fontId="10" fillId="10" borderId="5" xfId="0" applyNumberFormat="1" applyFont="1" applyFill="1" applyBorder="1" applyAlignment="1">
      <alignment horizontal="center" vertical="center" wrapText="1"/>
    </xf>
    <xf numFmtId="2" fontId="10" fillId="10" borderId="0" xfId="0" applyNumberFormat="1" applyFont="1" applyFill="1" applyAlignment="1">
      <alignment horizontal="center" vertical="center" wrapText="1"/>
    </xf>
    <xf numFmtId="2" fontId="10" fillId="10" borderId="10" xfId="0" applyNumberFormat="1" applyFont="1" applyFill="1" applyBorder="1" applyAlignment="1">
      <alignment horizontal="center" vertical="center" wrapText="1"/>
    </xf>
    <xf numFmtId="1" fontId="6" fillId="2" borderId="5" xfId="0" applyNumberFormat="1" applyFont="1" applyFill="1" applyBorder="1" applyAlignment="1">
      <alignment horizontal="center" vertical="center" wrapText="1"/>
    </xf>
    <xf numFmtId="1" fontId="6" fillId="7" borderId="0" xfId="0" applyNumberFormat="1" applyFont="1" applyFill="1" applyAlignment="1">
      <alignment horizontal="center" vertical="center" wrapText="1"/>
    </xf>
    <xf numFmtId="1" fontId="6" fillId="2" borderId="0" xfId="0" applyNumberFormat="1" applyFont="1" applyFill="1" applyAlignment="1">
      <alignment horizontal="center" vertical="center" wrapText="1"/>
    </xf>
    <xf numFmtId="1" fontId="6" fillId="7" borderId="5" xfId="0" applyNumberFormat="1" applyFont="1" applyFill="1" applyBorder="1" applyAlignment="1">
      <alignment horizontal="center" vertical="center" wrapText="1"/>
    </xf>
    <xf numFmtId="1" fontId="6" fillId="2" borderId="10" xfId="0" applyNumberFormat="1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9" fontId="6" fillId="7" borderId="0" xfId="0" applyNumberFormat="1" applyFont="1" applyFill="1" applyAlignment="1">
      <alignment vertical="center" wrapText="1"/>
    </xf>
    <xf numFmtId="179" fontId="6" fillId="7" borderId="5" xfId="0" applyNumberFormat="1" applyFont="1" applyFill="1" applyBorder="1" applyAlignment="1">
      <alignment vertical="center" wrapText="1"/>
    </xf>
    <xf numFmtId="9" fontId="6" fillId="7" borderId="5" xfId="0" applyNumberFormat="1" applyFont="1" applyFill="1" applyBorder="1" applyAlignment="1">
      <alignment vertical="center" wrapText="1"/>
    </xf>
    <xf numFmtId="2" fontId="6" fillId="7" borderId="10" xfId="0" applyNumberFormat="1" applyFont="1" applyFill="1" applyBorder="1" applyAlignment="1">
      <alignment vertical="center" wrapText="1"/>
    </xf>
    <xf numFmtId="9" fontId="6" fillId="7" borderId="10" xfId="0" applyNumberFormat="1" applyFont="1" applyFill="1" applyBorder="1" applyAlignment="1">
      <alignment vertical="center" wrapText="1"/>
    </xf>
    <xf numFmtId="0" fontId="12" fillId="2" borderId="4" xfId="0" applyFont="1" applyFill="1" applyBorder="1" applyAlignment="1">
      <alignment vertical="center" wrapText="1"/>
    </xf>
    <xf numFmtId="0" fontId="12" fillId="7" borderId="7" xfId="0" applyFont="1" applyFill="1" applyBorder="1" applyAlignment="1">
      <alignment vertical="center" wrapText="1"/>
    </xf>
    <xf numFmtId="0" fontId="12" fillId="2" borderId="7" xfId="0" applyFont="1" applyFill="1" applyBorder="1" applyAlignment="1">
      <alignment vertical="center" wrapText="1"/>
    </xf>
    <xf numFmtId="0" fontId="12" fillId="7" borderId="9" xfId="0" applyFont="1" applyFill="1" applyBorder="1" applyAlignment="1">
      <alignment vertical="center" wrapText="1"/>
    </xf>
    <xf numFmtId="178" fontId="10" fillId="10" borderId="5" xfId="0" applyNumberFormat="1" applyFont="1" applyFill="1" applyBorder="1" applyAlignment="1">
      <alignment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vertical="center" wrapText="1"/>
    </xf>
    <xf numFmtId="0" fontId="17" fillId="7" borderId="7" xfId="0" applyFont="1" applyFill="1" applyBorder="1" applyAlignment="1">
      <alignment vertical="center" wrapText="1"/>
    </xf>
    <xf numFmtId="0" fontId="17" fillId="2" borderId="7" xfId="0" applyFont="1" applyFill="1" applyBorder="1" applyAlignment="1">
      <alignment vertical="center" wrapText="1"/>
    </xf>
    <xf numFmtId="0" fontId="17" fillId="2" borderId="9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15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vertical="center"/>
    </xf>
  </cellXfs>
  <cellStyles count="3">
    <cellStyle name="Normal" xfId="1" xr:uid="{00000000-0005-0000-0000-000000000000}"/>
    <cellStyle name="常规" xfId="0" builtinId="0"/>
    <cellStyle name="超链接" xfId="2" xr:uid="{00000000-0005-0000-0000-000002000000}"/>
  </cellStyles>
  <dxfs count="15">
    <dxf>
      <fill>
        <patternFill>
          <bgColor rgb="FFFCE8E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2F2F2"/>
        </patternFill>
      </fill>
    </dxf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m.tb.cn/h.88jthWI" TargetMode="External"/><Relationship Id="rId21" Type="http://schemas.openxmlformats.org/officeDocument/2006/relationships/hyperlink" Target="https://m.tb.cn/h.8gPLTuJ" TargetMode="External"/><Relationship Id="rId42" Type="http://schemas.openxmlformats.org/officeDocument/2006/relationships/hyperlink" Target="https://m.tb.cn/h.8hZPjYT" TargetMode="External"/><Relationship Id="rId47" Type="http://schemas.openxmlformats.org/officeDocument/2006/relationships/hyperlink" Target="https://m.tb.cn/h.8hZ1CJu" TargetMode="External"/><Relationship Id="rId63" Type="http://schemas.openxmlformats.org/officeDocument/2006/relationships/hyperlink" Target="https://m.tb.cn/h.8h8uM4E" TargetMode="External"/><Relationship Id="rId68" Type="http://schemas.openxmlformats.org/officeDocument/2006/relationships/hyperlink" Target="https://m.tb.cn/h.8h8wStM" TargetMode="External"/><Relationship Id="rId84" Type="http://schemas.openxmlformats.org/officeDocument/2006/relationships/hyperlink" Target="https://m.tb.cn/h.8SH2iZy" TargetMode="External"/><Relationship Id="rId89" Type="http://schemas.openxmlformats.org/officeDocument/2006/relationships/hyperlink" Target="https://m.tb.cn/h.8Ssxefc" TargetMode="External"/><Relationship Id="rId112" Type="http://schemas.openxmlformats.org/officeDocument/2006/relationships/hyperlink" Target="https://m.tb.cn/h.88jthWI" TargetMode="External"/><Relationship Id="rId16" Type="http://schemas.openxmlformats.org/officeDocument/2006/relationships/hyperlink" Target="https://m.tb.cn/h.8hZl5VV" TargetMode="External"/><Relationship Id="rId107" Type="http://schemas.openxmlformats.org/officeDocument/2006/relationships/hyperlink" Target="https://m.tb.cn/h.8SC5ypy" TargetMode="External"/><Relationship Id="rId11" Type="http://schemas.openxmlformats.org/officeDocument/2006/relationships/hyperlink" Target="https://m.tb.cn/h.8hZ0bn4" TargetMode="External"/><Relationship Id="rId32" Type="http://schemas.openxmlformats.org/officeDocument/2006/relationships/hyperlink" Target="https://m.tb.cn/h.8To48w7" TargetMode="External"/><Relationship Id="rId37" Type="http://schemas.openxmlformats.org/officeDocument/2006/relationships/hyperlink" Target="https://m.tb.cn/h.85lrZ1E" TargetMode="External"/><Relationship Id="rId53" Type="http://schemas.openxmlformats.org/officeDocument/2006/relationships/hyperlink" Target="https://m.tb.cn/h.8hZ2jhd" TargetMode="External"/><Relationship Id="rId58" Type="http://schemas.openxmlformats.org/officeDocument/2006/relationships/hyperlink" Target="https://m.tb.cn/h.8TMAbor" TargetMode="External"/><Relationship Id="rId74" Type="http://schemas.openxmlformats.org/officeDocument/2006/relationships/hyperlink" Target="https://m.tb.cn/h.8iB6abQ" TargetMode="External"/><Relationship Id="rId79" Type="http://schemas.openxmlformats.org/officeDocument/2006/relationships/hyperlink" Target="https://m.tb.cn/h.8SHZ6VI" TargetMode="External"/><Relationship Id="rId102" Type="http://schemas.openxmlformats.org/officeDocument/2006/relationships/hyperlink" Target="https://m.tb.cn/h.8SsDS4I" TargetMode="External"/><Relationship Id="rId123" Type="http://schemas.openxmlformats.org/officeDocument/2006/relationships/hyperlink" Target="https://m.tb.cn/h.8R0XHid" TargetMode="External"/><Relationship Id="rId128" Type="http://schemas.openxmlformats.org/officeDocument/2006/relationships/hyperlink" Target="https://m.tb.cn/h.88du7gS?tk=JREHTcfwVjN" TargetMode="External"/><Relationship Id="rId5" Type="http://schemas.openxmlformats.org/officeDocument/2006/relationships/hyperlink" Target="https://m.tb.cn/h.85lSeVr" TargetMode="External"/><Relationship Id="rId90" Type="http://schemas.openxmlformats.org/officeDocument/2006/relationships/hyperlink" Target="https://m.tb.cn/h.87D9x2x" TargetMode="External"/><Relationship Id="rId95" Type="http://schemas.openxmlformats.org/officeDocument/2006/relationships/hyperlink" Target="https://m.tb.cn/h.8RTgf0G" TargetMode="External"/><Relationship Id="rId22" Type="http://schemas.openxmlformats.org/officeDocument/2006/relationships/hyperlink" Target="https://m.tb.cn/h.8gPLTuJ" TargetMode="External"/><Relationship Id="rId27" Type="http://schemas.openxmlformats.org/officeDocument/2006/relationships/hyperlink" Target="https://m.tb.cn/h.8TMpM3x" TargetMode="External"/><Relationship Id="rId43" Type="http://schemas.openxmlformats.org/officeDocument/2006/relationships/hyperlink" Target="https://m.tb.cn/h.85lH5Br" TargetMode="External"/><Relationship Id="rId48" Type="http://schemas.openxmlformats.org/officeDocument/2006/relationships/hyperlink" Target="https://m.tb.cn/h.8gPFmmg" TargetMode="External"/><Relationship Id="rId64" Type="http://schemas.openxmlformats.org/officeDocument/2006/relationships/hyperlink" Target="https://m.tb.cn/h.8iBaM5L" TargetMode="External"/><Relationship Id="rId69" Type="http://schemas.openxmlformats.org/officeDocument/2006/relationships/hyperlink" Target="https://m.tb.cn/h.8hjdpTT" TargetMode="External"/><Relationship Id="rId113" Type="http://schemas.openxmlformats.org/officeDocument/2006/relationships/hyperlink" Target="https://m.tb.cn/h.88jthWI" TargetMode="External"/><Relationship Id="rId118" Type="http://schemas.openxmlformats.org/officeDocument/2006/relationships/hyperlink" Target="https://m.tb.cn/h.88jthWI" TargetMode="External"/><Relationship Id="rId80" Type="http://schemas.openxmlformats.org/officeDocument/2006/relationships/hyperlink" Target="https://m.tb.cn/h.8htvaF5" TargetMode="External"/><Relationship Id="rId85" Type="http://schemas.openxmlformats.org/officeDocument/2006/relationships/hyperlink" Target="https://m.tb.cn/h.8RTa5G8" TargetMode="External"/><Relationship Id="rId12" Type="http://schemas.openxmlformats.org/officeDocument/2006/relationships/hyperlink" Target="https://m.tb.cn/h.8hZTPEH" TargetMode="External"/><Relationship Id="rId17" Type="http://schemas.openxmlformats.org/officeDocument/2006/relationships/hyperlink" Target="https://m.tb.cn/h.8hZSrSv" TargetMode="External"/><Relationship Id="rId33" Type="http://schemas.openxmlformats.org/officeDocument/2006/relationships/hyperlink" Target="https://m.tb.cn/h.8To48w7" TargetMode="External"/><Relationship Id="rId38" Type="http://schemas.openxmlformats.org/officeDocument/2006/relationships/hyperlink" Target="https://m.tb.cn/h.8To3Rip" TargetMode="External"/><Relationship Id="rId59" Type="http://schemas.openxmlformats.org/officeDocument/2006/relationships/hyperlink" Target="https://m.tb.cn/h.8TMAbor" TargetMode="External"/><Relationship Id="rId103" Type="http://schemas.openxmlformats.org/officeDocument/2006/relationships/hyperlink" Target="https://m.tb.cn/h.8SC5ypy" TargetMode="External"/><Relationship Id="rId108" Type="http://schemas.openxmlformats.org/officeDocument/2006/relationships/hyperlink" Target="https://m.tb.cn/h.8R01RYz" TargetMode="External"/><Relationship Id="rId124" Type="http://schemas.openxmlformats.org/officeDocument/2006/relationships/hyperlink" Target="https://m.tb.cn/h.8R0d8yE" TargetMode="External"/><Relationship Id="rId129" Type="http://schemas.openxmlformats.org/officeDocument/2006/relationships/hyperlink" Target="https://m.tb.cn/h.8Qr7sEs?tk=14I4TcfDQMS" TargetMode="External"/><Relationship Id="rId54" Type="http://schemas.openxmlformats.org/officeDocument/2006/relationships/hyperlink" Target="https://m.tb.cn/h.8gPwdCB" TargetMode="External"/><Relationship Id="rId70" Type="http://schemas.openxmlformats.org/officeDocument/2006/relationships/hyperlink" Target="https://m.tb.cn/h.8hjdpTT" TargetMode="External"/><Relationship Id="rId75" Type="http://schemas.openxmlformats.org/officeDocument/2006/relationships/hyperlink" Target="https://m.tb.cn/h.8h8wStM" TargetMode="External"/><Relationship Id="rId91" Type="http://schemas.openxmlformats.org/officeDocument/2006/relationships/hyperlink" Target="https://m.tb.cn/h.8RT87Rt" TargetMode="External"/><Relationship Id="rId96" Type="http://schemas.openxmlformats.org/officeDocument/2006/relationships/hyperlink" Target="https://m.tb.cn/h.8hGa37b" TargetMode="External"/><Relationship Id="rId1" Type="http://schemas.openxmlformats.org/officeDocument/2006/relationships/hyperlink" Target="https://m.tb.cn/h.8hZ5v4h" TargetMode="External"/><Relationship Id="rId6" Type="http://schemas.openxmlformats.org/officeDocument/2006/relationships/hyperlink" Target="https://m.tb.cn/h.85lSVae" TargetMode="External"/><Relationship Id="rId23" Type="http://schemas.openxmlformats.org/officeDocument/2006/relationships/hyperlink" Target="https://m.tb.cn/h.8hawF47" TargetMode="External"/><Relationship Id="rId28" Type="http://schemas.openxmlformats.org/officeDocument/2006/relationships/hyperlink" Target="https://m.tb.cn/h.85lUsxU" TargetMode="External"/><Relationship Id="rId49" Type="http://schemas.openxmlformats.org/officeDocument/2006/relationships/hyperlink" Target="https://m.tb.cn/h.8TMFYvq" TargetMode="External"/><Relationship Id="rId114" Type="http://schemas.openxmlformats.org/officeDocument/2006/relationships/hyperlink" Target="https://m.tb.cn/h.88jthWI" TargetMode="External"/><Relationship Id="rId119" Type="http://schemas.openxmlformats.org/officeDocument/2006/relationships/hyperlink" Target="https://m.tb.cn/h.8R0XHid" TargetMode="External"/><Relationship Id="rId44" Type="http://schemas.openxmlformats.org/officeDocument/2006/relationships/hyperlink" Target="https://m.tb.cn/h.85lH5Br" TargetMode="External"/><Relationship Id="rId60" Type="http://schemas.openxmlformats.org/officeDocument/2006/relationships/hyperlink" Target="https://m.tb.cn/h.8h8sTgw" TargetMode="External"/><Relationship Id="rId65" Type="http://schemas.openxmlformats.org/officeDocument/2006/relationships/hyperlink" Target="https://m.tb.cn/h.8iBaM5L" TargetMode="External"/><Relationship Id="rId81" Type="http://schemas.openxmlformats.org/officeDocument/2006/relationships/hyperlink" Target="https://m.tb.cn/h.87DVwGw" TargetMode="External"/><Relationship Id="rId86" Type="http://schemas.openxmlformats.org/officeDocument/2006/relationships/hyperlink" Target="https://m.tb.cn/h.8SsCG8M" TargetMode="External"/><Relationship Id="rId130" Type="http://schemas.openxmlformats.org/officeDocument/2006/relationships/hyperlink" Target="https://m.tb.cn/h.88dH51J?tk=gYY0TcfGKPO" TargetMode="External"/><Relationship Id="rId13" Type="http://schemas.openxmlformats.org/officeDocument/2006/relationships/hyperlink" Target="https://m.tb.cn/h.8Toancr" TargetMode="External"/><Relationship Id="rId18" Type="http://schemas.openxmlformats.org/officeDocument/2006/relationships/hyperlink" Target="https://m.tb.cn/h.8gl2SyE" TargetMode="External"/><Relationship Id="rId39" Type="http://schemas.openxmlformats.org/officeDocument/2006/relationships/hyperlink" Target="https://m.tb.cn/h.8hZk6KB" TargetMode="External"/><Relationship Id="rId109" Type="http://schemas.openxmlformats.org/officeDocument/2006/relationships/hyperlink" Target="https://m.tb.cn/h.87DUUUl?tk=RDTTTbxFLz5" TargetMode="External"/><Relationship Id="rId34" Type="http://schemas.openxmlformats.org/officeDocument/2006/relationships/hyperlink" Target="https://m.tb.cn/h.85lka0J" TargetMode="External"/><Relationship Id="rId50" Type="http://schemas.openxmlformats.org/officeDocument/2006/relationships/hyperlink" Target="https://m.tb.cn/h.8gPFpp3" TargetMode="External"/><Relationship Id="rId55" Type="http://schemas.openxmlformats.org/officeDocument/2006/relationships/hyperlink" Target="https://m.tb.cn/h.8hZdtsP" TargetMode="External"/><Relationship Id="rId76" Type="http://schemas.openxmlformats.org/officeDocument/2006/relationships/hyperlink" Target="https://m.tb.cn/h.8h8wJwX" TargetMode="External"/><Relationship Id="rId97" Type="http://schemas.openxmlformats.org/officeDocument/2006/relationships/hyperlink" Target="https://m.tb.cn/h.87D4z4E" TargetMode="External"/><Relationship Id="rId104" Type="http://schemas.openxmlformats.org/officeDocument/2006/relationships/hyperlink" Target="https://m.tb.cn/h.8SC5ypy" TargetMode="External"/><Relationship Id="rId120" Type="http://schemas.openxmlformats.org/officeDocument/2006/relationships/hyperlink" Target="https://m.tb.cn/h.8R0XHid" TargetMode="External"/><Relationship Id="rId125" Type="http://schemas.openxmlformats.org/officeDocument/2006/relationships/hyperlink" Target="https://m.tb.cn/h.8QrhAdd?tk=32rSTcfETCB" TargetMode="External"/><Relationship Id="rId7" Type="http://schemas.openxmlformats.org/officeDocument/2006/relationships/hyperlink" Target="https://m.tb.cn/h.85ldtv8" TargetMode="External"/><Relationship Id="rId71" Type="http://schemas.openxmlformats.org/officeDocument/2006/relationships/hyperlink" Target="https://m.tb.cn/h.8SR79Gp" TargetMode="External"/><Relationship Id="rId92" Type="http://schemas.openxmlformats.org/officeDocument/2006/relationships/hyperlink" Target="https://m.tb.cn/h.8SHTg8I" TargetMode="External"/><Relationship Id="rId2" Type="http://schemas.openxmlformats.org/officeDocument/2006/relationships/hyperlink" Target="https://m.tb.cn/h.8hZ6c8g" TargetMode="External"/><Relationship Id="rId29" Type="http://schemas.openxmlformats.org/officeDocument/2006/relationships/hyperlink" Target="https://m.tb.cn/h.85l5KPI" TargetMode="External"/><Relationship Id="rId24" Type="http://schemas.openxmlformats.org/officeDocument/2006/relationships/hyperlink" Target="https://m.tb.cn/h.8TMobzc" TargetMode="External"/><Relationship Id="rId40" Type="http://schemas.openxmlformats.org/officeDocument/2006/relationships/hyperlink" Target="https://m.tb.cn/h.8hZknNa" TargetMode="External"/><Relationship Id="rId45" Type="http://schemas.openxmlformats.org/officeDocument/2006/relationships/hyperlink" Target="https://m.tb.cn/h.8hZ1K1W" TargetMode="External"/><Relationship Id="rId66" Type="http://schemas.openxmlformats.org/officeDocument/2006/relationships/hyperlink" Target="https://m.tb.cn/h.8iBZjh0" TargetMode="External"/><Relationship Id="rId87" Type="http://schemas.openxmlformats.org/officeDocument/2006/relationships/hyperlink" Target="https://m.tb.cn/h.87Db9No" TargetMode="External"/><Relationship Id="rId110" Type="http://schemas.openxmlformats.org/officeDocument/2006/relationships/hyperlink" Target="https://m.tb.cn/h.87DUUUl?tk=RDTTTbxFLz5" TargetMode="External"/><Relationship Id="rId115" Type="http://schemas.openxmlformats.org/officeDocument/2006/relationships/hyperlink" Target="https://m.tb.cn/h.88jthWI" TargetMode="External"/><Relationship Id="rId61" Type="http://schemas.openxmlformats.org/officeDocument/2006/relationships/hyperlink" Target="https://m.tb.cn/h.8h8sTgw" TargetMode="External"/><Relationship Id="rId82" Type="http://schemas.openxmlformats.org/officeDocument/2006/relationships/hyperlink" Target="https://m.tb.cn/h.8RT59yw" TargetMode="External"/><Relationship Id="rId19" Type="http://schemas.openxmlformats.org/officeDocument/2006/relationships/hyperlink" Target="https://m.tb.cn/h.8To2L35" TargetMode="External"/><Relationship Id="rId14" Type="http://schemas.openxmlformats.org/officeDocument/2006/relationships/hyperlink" Target="https://m.tb.cn/h.8glbxOP" TargetMode="External"/><Relationship Id="rId30" Type="http://schemas.openxmlformats.org/officeDocument/2006/relationships/hyperlink" Target="https://m.tb.cn/h.8glcWxM" TargetMode="External"/><Relationship Id="rId35" Type="http://schemas.openxmlformats.org/officeDocument/2006/relationships/hyperlink" Target="https://m.tb.cn/h.8hZelaw" TargetMode="External"/><Relationship Id="rId56" Type="http://schemas.openxmlformats.org/officeDocument/2006/relationships/hyperlink" Target="https://m.tb.cn/h.85l9YGK" TargetMode="External"/><Relationship Id="rId77" Type="http://schemas.openxmlformats.org/officeDocument/2006/relationships/hyperlink" Target="https://m.tb.cn/h.8iB1Vs7" TargetMode="External"/><Relationship Id="rId100" Type="http://schemas.openxmlformats.org/officeDocument/2006/relationships/hyperlink" Target="https://m.tb.cn/h.8htH4tc" TargetMode="External"/><Relationship Id="rId105" Type="http://schemas.openxmlformats.org/officeDocument/2006/relationships/hyperlink" Target="https://m.tb.cn/h.8SC5ypy" TargetMode="External"/><Relationship Id="rId126" Type="http://schemas.openxmlformats.org/officeDocument/2006/relationships/hyperlink" Target="https://m.tb.cn/h.8Qr7lor?tk=HJzwTcfwgZQ" TargetMode="External"/><Relationship Id="rId8" Type="http://schemas.openxmlformats.org/officeDocument/2006/relationships/hyperlink" Target="https://m.tb.cn/h.8TMIVgE" TargetMode="External"/><Relationship Id="rId51" Type="http://schemas.openxmlformats.org/officeDocument/2006/relationships/hyperlink" Target="https://m.tb.cn/h.8TMv6ks" TargetMode="External"/><Relationship Id="rId72" Type="http://schemas.openxmlformats.org/officeDocument/2006/relationships/hyperlink" Target="https://m.tb.cn/h.8SR79Gp" TargetMode="External"/><Relationship Id="rId93" Type="http://schemas.openxmlformats.org/officeDocument/2006/relationships/hyperlink" Target="https://m.tb.cn/h.8htHALG" TargetMode="External"/><Relationship Id="rId98" Type="http://schemas.openxmlformats.org/officeDocument/2006/relationships/hyperlink" Target="https://m.tb.cn/h.8htxwz8" TargetMode="External"/><Relationship Id="rId121" Type="http://schemas.openxmlformats.org/officeDocument/2006/relationships/hyperlink" Target="https://m.tb.cn/h.8R0XHid" TargetMode="External"/><Relationship Id="rId3" Type="http://schemas.openxmlformats.org/officeDocument/2006/relationships/hyperlink" Target="https://m.tb.cn/h.85loirB" TargetMode="External"/><Relationship Id="rId25" Type="http://schemas.openxmlformats.org/officeDocument/2006/relationships/hyperlink" Target="https://m.tb.cn/h.8TMokXh" TargetMode="External"/><Relationship Id="rId46" Type="http://schemas.openxmlformats.org/officeDocument/2006/relationships/hyperlink" Target="https://m.tb.cn/h.8hZ1foc" TargetMode="External"/><Relationship Id="rId67" Type="http://schemas.openxmlformats.org/officeDocument/2006/relationships/hyperlink" Target="https://m.tb.cn/h.8iBZ5GM" TargetMode="External"/><Relationship Id="rId116" Type="http://schemas.openxmlformats.org/officeDocument/2006/relationships/hyperlink" Target="https://m.tb.cn/h.88jthWI" TargetMode="External"/><Relationship Id="rId20" Type="http://schemas.openxmlformats.org/officeDocument/2006/relationships/hyperlink" Target="https://m.tb.cn/h.8hawTxv" TargetMode="External"/><Relationship Id="rId41" Type="http://schemas.openxmlformats.org/officeDocument/2006/relationships/hyperlink" Target="https://m.tb.cn/h.85lItEU" TargetMode="External"/><Relationship Id="rId62" Type="http://schemas.openxmlformats.org/officeDocument/2006/relationships/hyperlink" Target="https://m.tb.cn/h.8h8uM4E" TargetMode="External"/><Relationship Id="rId83" Type="http://schemas.openxmlformats.org/officeDocument/2006/relationships/hyperlink" Target="https://m.tb.cn/h.8SHfaWd" TargetMode="External"/><Relationship Id="rId88" Type="http://schemas.openxmlformats.org/officeDocument/2006/relationships/hyperlink" Target="https://m.tb.cn/h.8htKgX0" TargetMode="External"/><Relationship Id="rId111" Type="http://schemas.openxmlformats.org/officeDocument/2006/relationships/hyperlink" Target="https://m.tb.cn/h.88jthWI" TargetMode="External"/><Relationship Id="rId15" Type="http://schemas.openxmlformats.org/officeDocument/2006/relationships/hyperlink" Target="https://m.tb.cn/h.8TobcaQ" TargetMode="External"/><Relationship Id="rId36" Type="http://schemas.openxmlformats.org/officeDocument/2006/relationships/hyperlink" Target="https://m.tb.cn/h.8TMC7lv" TargetMode="External"/><Relationship Id="rId57" Type="http://schemas.openxmlformats.org/officeDocument/2006/relationships/hyperlink" Target="https://m.tb.cn/h.85lQCY0" TargetMode="External"/><Relationship Id="rId106" Type="http://schemas.openxmlformats.org/officeDocument/2006/relationships/hyperlink" Target="https://m.tb.cn/h.8SC5ypy" TargetMode="External"/><Relationship Id="rId127" Type="http://schemas.openxmlformats.org/officeDocument/2006/relationships/hyperlink" Target="https://m.tb.cn/h.88dGGkT?tk=YrVVTcfEraZ" TargetMode="External"/><Relationship Id="rId10" Type="http://schemas.openxmlformats.org/officeDocument/2006/relationships/hyperlink" Target="https://m.tb.cn/h.8hZZTQq" TargetMode="External"/><Relationship Id="rId31" Type="http://schemas.openxmlformats.org/officeDocument/2006/relationships/hyperlink" Target="https://m.tb.cn/h.8To48w7" TargetMode="External"/><Relationship Id="rId52" Type="http://schemas.openxmlformats.org/officeDocument/2006/relationships/hyperlink" Target="https://m.tb.cn/h.8hZ2jhd" TargetMode="External"/><Relationship Id="rId73" Type="http://schemas.openxmlformats.org/officeDocument/2006/relationships/hyperlink" Target="https://m.tb.cn/h.8iB6abQ" TargetMode="External"/><Relationship Id="rId78" Type="http://schemas.openxmlformats.org/officeDocument/2006/relationships/hyperlink" Target="https://m.tb.cn/h.8SsANYr" TargetMode="External"/><Relationship Id="rId94" Type="http://schemas.openxmlformats.org/officeDocument/2006/relationships/hyperlink" Target="https://m.tb.cn/h.87D75Tp" TargetMode="External"/><Relationship Id="rId99" Type="http://schemas.openxmlformats.org/officeDocument/2006/relationships/hyperlink" Target="https://m.tb.cn/h.8htBflb" TargetMode="External"/><Relationship Id="rId101" Type="http://schemas.openxmlformats.org/officeDocument/2006/relationships/hyperlink" Target="https://m.tb.cn/h.87DYxcs" TargetMode="External"/><Relationship Id="rId122" Type="http://schemas.openxmlformats.org/officeDocument/2006/relationships/hyperlink" Target="https://m.tb.cn/h.8R0XHid" TargetMode="External"/><Relationship Id="rId4" Type="http://schemas.openxmlformats.org/officeDocument/2006/relationships/hyperlink" Target="https://m.tb.cn/h.8TobHp2" TargetMode="External"/><Relationship Id="rId9" Type="http://schemas.openxmlformats.org/officeDocument/2006/relationships/hyperlink" Target="https://m.tb.cn/h.8gPsqAk" TargetMode="External"/><Relationship Id="rId26" Type="http://schemas.openxmlformats.org/officeDocument/2006/relationships/hyperlink" Target="https://m.tb.cn/h.8haxvW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pane ySplit="4" topLeftCell="A5" activePane="bottomLeft" state="frozen"/>
      <selection pane="bottomLeft" activeCell="B9" sqref="B9"/>
    </sheetView>
  </sheetViews>
  <sheetFormatPr defaultColWidth="8.85546875" defaultRowHeight="14.15"/>
  <cols>
    <col min="1" max="1" width="28" customWidth="1"/>
    <col min="2" max="2" width="20" customWidth="1"/>
    <col min="3" max="3" width="49" customWidth="1"/>
    <col min="4" max="4" width="4" customWidth="1"/>
    <col min="5" max="5" width="62" customWidth="1"/>
    <col min="6" max="6" width="38" customWidth="1"/>
    <col min="7" max="7" width="59" customWidth="1"/>
  </cols>
  <sheetData>
    <row r="1" spans="1:7" ht="37" customHeight="1">
      <c r="A1" s="152" t="s">
        <v>0</v>
      </c>
      <c r="B1" s="153"/>
      <c r="C1" s="153"/>
      <c r="D1" s="153"/>
      <c r="E1" s="153"/>
      <c r="F1" s="153"/>
      <c r="G1" s="153"/>
    </row>
    <row r="2" spans="1:7" ht="19" customHeight="1">
      <c r="A2" s="153"/>
      <c r="B2" s="153"/>
      <c r="C2" s="153"/>
      <c r="D2" s="153"/>
      <c r="E2" s="153"/>
      <c r="F2" s="153"/>
      <c r="G2" s="153"/>
    </row>
    <row r="3" spans="1:7">
      <c r="A3" s="2"/>
      <c r="B3" s="2"/>
      <c r="C3" s="2"/>
      <c r="D3" s="2"/>
      <c r="E3" s="2"/>
      <c r="F3" s="2"/>
      <c r="G3" s="2"/>
    </row>
    <row r="4" spans="1:7" ht="32.049999999999997" customHeight="1">
      <c r="A4" s="17" t="s">
        <v>1</v>
      </c>
      <c r="B4" s="18" t="s">
        <v>2</v>
      </c>
      <c r="C4" s="18" t="s">
        <v>3</v>
      </c>
      <c r="D4" s="2"/>
      <c r="E4" s="31" t="s">
        <v>4</v>
      </c>
      <c r="F4" s="32" t="s">
        <v>5</v>
      </c>
      <c r="G4" s="33" t="s">
        <v>6</v>
      </c>
    </row>
    <row r="5" spans="1:7" ht="37" customHeight="1">
      <c r="A5" s="34" t="s">
        <v>7</v>
      </c>
      <c r="B5" s="3"/>
      <c r="C5" s="4" t="s">
        <v>8</v>
      </c>
      <c r="D5" s="2"/>
      <c r="E5" s="5" t="s">
        <v>9</v>
      </c>
      <c r="F5" s="4" t="s">
        <v>10</v>
      </c>
      <c r="G5" s="6" t="s">
        <v>11</v>
      </c>
    </row>
    <row r="6" spans="1:7" ht="37" customHeight="1">
      <c r="A6" s="39" t="s">
        <v>12</v>
      </c>
      <c r="B6" s="35"/>
      <c r="C6" s="36" t="s">
        <v>13</v>
      </c>
      <c r="D6" s="2"/>
      <c r="E6" s="37" t="s">
        <v>14</v>
      </c>
      <c r="F6" s="36" t="s">
        <v>15</v>
      </c>
      <c r="G6" s="38" t="s">
        <v>16</v>
      </c>
    </row>
    <row r="7" spans="1:7" ht="58" customHeight="1">
      <c r="A7" s="40" t="s">
        <v>17</v>
      </c>
      <c r="B7" s="7"/>
      <c r="C7" s="8" t="s">
        <v>18</v>
      </c>
      <c r="D7" s="2"/>
      <c r="E7" s="9" t="s">
        <v>19</v>
      </c>
      <c r="F7" s="8" t="s">
        <v>20</v>
      </c>
      <c r="G7" s="10" t="s">
        <v>21</v>
      </c>
    </row>
    <row r="8" spans="1:7" ht="37" customHeight="1">
      <c r="A8" s="45" t="s">
        <v>22</v>
      </c>
      <c r="B8" s="41"/>
      <c r="C8" s="42" t="s">
        <v>23</v>
      </c>
      <c r="D8" s="2"/>
      <c r="E8" s="43" t="s">
        <v>24</v>
      </c>
      <c r="F8" s="42" t="s">
        <v>25</v>
      </c>
      <c r="G8" s="44" t="s">
        <v>26</v>
      </c>
    </row>
    <row r="9" spans="1:7" ht="52" customHeight="1">
      <c r="A9" s="2"/>
      <c r="B9" s="2"/>
      <c r="C9" s="2"/>
      <c r="D9" s="2"/>
      <c r="E9" s="8"/>
      <c r="F9" s="8"/>
      <c r="G9" s="8"/>
    </row>
    <row r="10" spans="1:7" ht="52" customHeight="1">
      <c r="A10" s="156" t="s">
        <v>27</v>
      </c>
      <c r="B10" s="157" t="s">
        <v>28</v>
      </c>
      <c r="C10" s="157" t="s">
        <v>29</v>
      </c>
      <c r="D10" s="158"/>
      <c r="E10" s="156" t="s">
        <v>30</v>
      </c>
      <c r="F10" s="157" t="s">
        <v>31</v>
      </c>
      <c r="G10" s="46"/>
    </row>
    <row r="11" spans="1:7" ht="37" customHeight="1">
      <c r="A11" s="5" t="s">
        <v>32</v>
      </c>
      <c r="B11" s="50">
        <f>COUNTIFS('02_Character_Probabilities'!B3:B10,"&lt;&gt;",'02_Character_Probabilities'!C3:C10,"Yes")</f>
        <v>8</v>
      </c>
      <c r="C11" s="4" t="s">
        <v>33</v>
      </c>
      <c r="D11" s="2"/>
      <c r="E11" s="5" t="s">
        <v>34</v>
      </c>
      <c r="F11" s="47" t="s">
        <v>35</v>
      </c>
      <c r="G11" s="10"/>
    </row>
    <row r="12" spans="1:7" ht="37" customHeight="1">
      <c r="A12" s="37" t="s">
        <v>36</v>
      </c>
      <c r="B12" s="51">
        <f>COUNTIF('03_Secondary_Market_Raw_Data'!A3:A299,"&lt;&gt;")</f>
        <v>134</v>
      </c>
      <c r="C12" s="36" t="s">
        <v>37</v>
      </c>
      <c r="D12" s="2"/>
      <c r="E12" s="37" t="s">
        <v>38</v>
      </c>
      <c r="F12" s="48" t="s">
        <v>35</v>
      </c>
      <c r="G12" s="38"/>
    </row>
    <row r="13" spans="1:7" ht="56.05" customHeight="1">
      <c r="A13" s="9" t="s">
        <v>39</v>
      </c>
      <c r="B13" s="51">
        <f>COUNTIF('03_Secondary_Market_Raw_Data'!T3:T299,"Yes")</f>
        <v>127</v>
      </c>
      <c r="C13" s="8" t="s">
        <v>40</v>
      </c>
      <c r="D13" s="2"/>
      <c r="E13" s="9" t="s">
        <v>41</v>
      </c>
      <c r="F13" s="48" t="s">
        <v>35</v>
      </c>
      <c r="G13" s="10"/>
    </row>
    <row r="14" spans="1:7" ht="37" customHeight="1">
      <c r="A14" s="37" t="s">
        <v>42</v>
      </c>
      <c r="B14" s="51">
        <f>COUNTIFS('03_Secondary_Market_Raw_Data'!T3:T299,"Yes",'03_Secondary_Market_Raw_Data'!V3:V299,"")</f>
        <v>0</v>
      </c>
      <c r="C14" s="36" t="s">
        <v>43</v>
      </c>
      <c r="D14" s="2"/>
      <c r="E14" s="37" t="s">
        <v>44</v>
      </c>
      <c r="F14" s="48" t="s">
        <v>35</v>
      </c>
      <c r="G14" s="44"/>
    </row>
    <row r="15" spans="1:7" ht="37" customHeight="1">
      <c r="A15" s="12" t="s">
        <v>45</v>
      </c>
      <c r="B15" s="52">
        <f>COUNTIF('06_Data_Quality_Check'!C3:C30,"Pass")</f>
        <v>28</v>
      </c>
      <c r="C15" s="11" t="s">
        <v>46</v>
      </c>
      <c r="D15" s="2"/>
      <c r="E15" s="12" t="s">
        <v>47</v>
      </c>
      <c r="F15" s="49" t="s">
        <v>35</v>
      </c>
      <c r="G15" s="8"/>
    </row>
  </sheetData>
  <mergeCells count="1">
    <mergeCell ref="A1:G2"/>
  </mergeCells>
  <phoneticPr fontId="20" type="noConversion"/>
  <conditionalFormatting sqref="F11:F15">
    <cfRule type="expression" dxfId="14" priority="1">
      <formula>F11="已完成"</formula>
    </cfRule>
    <cfRule type="expression" dxfId="13" priority="2">
      <formula>F11="未完成"</formula>
    </cfRule>
  </conditionalFormatting>
  <dataValidations count="1">
    <dataValidation type="list" sqref="F11:F15" xr:uid="{00000000-0002-0000-0000-000000000000}">
      <formula1>"未完成,已完成,不适用"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pane ySplit="2" topLeftCell="A23" activePane="bottomLeft" state="frozen"/>
      <selection pane="bottomLeft" sqref="A1:C1"/>
    </sheetView>
  </sheetViews>
  <sheetFormatPr defaultColWidth="8.85546875" defaultRowHeight="14.15"/>
  <cols>
    <col min="1" max="1" width="25" customWidth="1"/>
    <col min="2" max="2" width="48" customWidth="1"/>
    <col min="3" max="3" width="86" customWidth="1"/>
  </cols>
  <sheetData>
    <row r="1" spans="1:3" ht="37" customHeight="1">
      <c r="A1" s="152" t="s">
        <v>48</v>
      </c>
      <c r="B1" s="153"/>
      <c r="C1" s="153"/>
    </row>
    <row r="2" spans="1:3" ht="43" customHeight="1">
      <c r="A2" s="17" t="s">
        <v>1</v>
      </c>
      <c r="B2" s="18" t="s">
        <v>49</v>
      </c>
      <c r="C2" s="18" t="s">
        <v>50</v>
      </c>
    </row>
    <row r="3" spans="1:3" ht="51" customHeight="1">
      <c r="A3" s="34" t="s">
        <v>7</v>
      </c>
      <c r="B3" s="55" t="s">
        <v>51</v>
      </c>
      <c r="C3" s="4" t="s">
        <v>52</v>
      </c>
    </row>
    <row r="4" spans="1:3" ht="33" customHeight="1">
      <c r="A4" s="59" t="s">
        <v>7</v>
      </c>
      <c r="B4" s="56" t="s">
        <v>53</v>
      </c>
      <c r="C4" s="36" t="s">
        <v>54</v>
      </c>
    </row>
    <row r="5" spans="1:3" ht="33" customHeight="1">
      <c r="A5" s="59" t="s">
        <v>7</v>
      </c>
      <c r="B5" s="57" t="s">
        <v>55</v>
      </c>
      <c r="C5" s="8" t="s">
        <v>56</v>
      </c>
    </row>
    <row r="6" spans="1:3" ht="51" customHeight="1">
      <c r="A6" s="59" t="s">
        <v>7</v>
      </c>
      <c r="B6" s="56" t="s">
        <v>57</v>
      </c>
      <c r="C6" s="36" t="s">
        <v>58</v>
      </c>
    </row>
    <row r="7" spans="1:3" ht="69" customHeight="1">
      <c r="A7" s="59" t="s">
        <v>7</v>
      </c>
      <c r="B7" s="57" t="s">
        <v>59</v>
      </c>
      <c r="C7" s="8" t="s">
        <v>60</v>
      </c>
    </row>
    <row r="8" spans="1:3" ht="33" customHeight="1">
      <c r="A8" s="40" t="s">
        <v>17</v>
      </c>
      <c r="B8" s="56" t="s">
        <v>61</v>
      </c>
      <c r="C8" s="53" t="s">
        <v>62</v>
      </c>
    </row>
    <row r="9" spans="1:3" ht="33" customHeight="1">
      <c r="A9" s="59" t="s">
        <v>7</v>
      </c>
      <c r="B9" s="57" t="s">
        <v>63</v>
      </c>
      <c r="C9" s="15">
        <v>8</v>
      </c>
    </row>
    <row r="10" spans="1:3" ht="51" customHeight="1">
      <c r="A10" s="59" t="s">
        <v>7</v>
      </c>
      <c r="B10" s="56" t="s">
        <v>64</v>
      </c>
      <c r="C10" s="54" t="s">
        <v>65</v>
      </c>
    </row>
    <row r="11" spans="1:3" ht="51" customHeight="1">
      <c r="A11" s="59" t="s">
        <v>7</v>
      </c>
      <c r="B11" s="57" t="s">
        <v>66</v>
      </c>
      <c r="C11" s="16" t="s">
        <v>67</v>
      </c>
    </row>
    <row r="12" spans="1:3" ht="51" customHeight="1">
      <c r="A12" s="59" t="s">
        <v>7</v>
      </c>
      <c r="B12" s="56" t="s">
        <v>68</v>
      </c>
      <c r="C12" s="54" t="s">
        <v>69</v>
      </c>
    </row>
    <row r="13" spans="1:3" ht="33" customHeight="1">
      <c r="A13" s="40" t="s">
        <v>17</v>
      </c>
      <c r="B13" s="57" t="s">
        <v>70</v>
      </c>
      <c r="C13" s="8">
        <v>0</v>
      </c>
    </row>
    <row r="14" spans="1:3" ht="33" customHeight="1">
      <c r="A14" s="59" t="s">
        <v>7</v>
      </c>
      <c r="B14" s="56" t="s">
        <v>71</v>
      </c>
      <c r="C14" s="36">
        <v>1</v>
      </c>
    </row>
    <row r="15" spans="1:3" ht="33" customHeight="1">
      <c r="A15" s="59" t="s">
        <v>7</v>
      </c>
      <c r="B15" s="57" t="s">
        <v>72</v>
      </c>
      <c r="C15" s="8" t="s">
        <v>73</v>
      </c>
    </row>
    <row r="16" spans="1:3" ht="51" customHeight="1">
      <c r="A16" s="59" t="s">
        <v>7</v>
      </c>
      <c r="B16" s="56" t="s">
        <v>74</v>
      </c>
      <c r="C16" s="36" t="s">
        <v>75</v>
      </c>
    </row>
    <row r="17" spans="1:3" ht="33" customHeight="1">
      <c r="A17" s="59" t="s">
        <v>7</v>
      </c>
      <c r="B17" s="57" t="s">
        <v>76</v>
      </c>
      <c r="C17" s="8" t="s">
        <v>77</v>
      </c>
    </row>
    <row r="18" spans="1:3" ht="33" customHeight="1">
      <c r="A18" s="59" t="s">
        <v>7</v>
      </c>
      <c r="B18" s="56" t="s">
        <v>78</v>
      </c>
      <c r="C18" s="36" t="s">
        <v>79</v>
      </c>
    </row>
    <row r="19" spans="1:3" ht="33" customHeight="1">
      <c r="A19" s="39" t="s">
        <v>12</v>
      </c>
      <c r="B19" s="57" t="s">
        <v>80</v>
      </c>
      <c r="C19" s="8" t="s">
        <v>81</v>
      </c>
    </row>
    <row r="20" spans="1:3" ht="33" customHeight="1">
      <c r="A20" s="59" t="s">
        <v>7</v>
      </c>
      <c r="B20" s="56" t="s">
        <v>82</v>
      </c>
      <c r="C20" s="36" t="s">
        <v>73</v>
      </c>
    </row>
    <row r="21" spans="1:3" ht="51" customHeight="1">
      <c r="A21" s="39" t="s">
        <v>12</v>
      </c>
      <c r="B21" s="57" t="s">
        <v>83</v>
      </c>
      <c r="C21" s="8" t="s">
        <v>84</v>
      </c>
    </row>
    <row r="22" spans="1:3" ht="96" customHeight="1">
      <c r="A22" s="59" t="s">
        <v>7</v>
      </c>
      <c r="B22" s="56" t="s">
        <v>85</v>
      </c>
      <c r="C22" s="36" t="s">
        <v>86</v>
      </c>
    </row>
    <row r="23" spans="1:3" ht="51" customHeight="1">
      <c r="A23" s="59" t="s">
        <v>7</v>
      </c>
      <c r="B23" s="57" t="s">
        <v>87</v>
      </c>
      <c r="C23" s="14" t="s">
        <v>88</v>
      </c>
    </row>
    <row r="24" spans="1:3" ht="51" customHeight="1">
      <c r="A24" s="59" t="s">
        <v>7</v>
      </c>
      <c r="B24" s="56" t="s">
        <v>89</v>
      </c>
      <c r="C24" s="36" t="s">
        <v>90</v>
      </c>
    </row>
    <row r="25" spans="1:3" ht="69" customHeight="1">
      <c r="A25" s="40" t="s">
        <v>17</v>
      </c>
      <c r="B25" s="57" t="s">
        <v>91</v>
      </c>
      <c r="C25" s="8" t="s">
        <v>92</v>
      </c>
    </row>
    <row r="26" spans="1:3" ht="114" customHeight="1">
      <c r="A26" s="60" t="s">
        <v>17</v>
      </c>
      <c r="B26" s="58" t="s">
        <v>93</v>
      </c>
      <c r="C26" s="42" t="s">
        <v>94</v>
      </c>
    </row>
  </sheetData>
  <mergeCells count="1">
    <mergeCell ref="A1:C1"/>
  </mergeCells>
  <phoneticPr fontId="20" type="noConversion"/>
  <dataValidations count="2">
    <dataValidation type="list" sqref="C15:C18 C20" xr:uid="{00000000-0002-0000-0100-000000000000}">
      <formula1>"是,否"</formula1>
    </dataValidation>
    <dataValidation type="list" sqref="C6" xr:uid="{00000000-0002-0000-0100-000001000000}">
      <formula1>"徽章,卡片,立牌,色纸,亚克力挂件,其他"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"/>
  <sheetViews>
    <sheetView workbookViewId="0">
      <pane ySplit="2" topLeftCell="A3" activePane="bottomLeft" state="frozen"/>
      <selection pane="bottomLeft" sqref="A1:K1"/>
    </sheetView>
  </sheetViews>
  <sheetFormatPr defaultColWidth="8.85546875" defaultRowHeight="14.15"/>
  <cols>
    <col min="1" max="1" width="14" customWidth="1"/>
    <col min="2" max="2" width="31" customWidth="1"/>
    <col min="3" max="3" width="25" customWidth="1"/>
    <col min="4" max="4" width="29" customWidth="1"/>
    <col min="5" max="5" width="25" customWidth="1"/>
    <col min="6" max="6" width="27" customWidth="1"/>
    <col min="7" max="7" width="28" customWidth="1"/>
    <col min="8" max="8" width="51" customWidth="1"/>
    <col min="9" max="10" width="26" customWidth="1"/>
    <col min="11" max="11" width="34" customWidth="1"/>
    <col min="12" max="12" width="4" customWidth="1"/>
    <col min="13" max="13" width="41" customWidth="1"/>
    <col min="14" max="14" width="21" customWidth="1"/>
  </cols>
  <sheetData>
    <row r="1" spans="1:14" ht="37" customHeight="1">
      <c r="A1" s="152" t="s">
        <v>95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"/>
      <c r="M1" s="1"/>
      <c r="N1" s="1"/>
    </row>
    <row r="2" spans="1:14" ht="53.05" customHeight="1">
      <c r="A2" s="17" t="s">
        <v>96</v>
      </c>
      <c r="B2" s="18" t="s">
        <v>97</v>
      </c>
      <c r="C2" s="18" t="s">
        <v>98</v>
      </c>
      <c r="D2" s="18" t="s">
        <v>99</v>
      </c>
      <c r="E2" s="18" t="s">
        <v>100</v>
      </c>
      <c r="F2" s="18" t="s">
        <v>101</v>
      </c>
      <c r="G2" s="18" t="s">
        <v>102</v>
      </c>
      <c r="H2" s="18" t="s">
        <v>103</v>
      </c>
      <c r="I2" s="18" t="s">
        <v>104</v>
      </c>
      <c r="J2" s="18" t="s">
        <v>105</v>
      </c>
      <c r="K2" s="21" t="s">
        <v>106</v>
      </c>
      <c r="L2" s="22"/>
      <c r="M2" s="31" t="s">
        <v>107</v>
      </c>
      <c r="N2" s="33" t="s">
        <v>108</v>
      </c>
    </row>
    <row r="3" spans="1:14" ht="47.05" customHeight="1">
      <c r="A3" s="65">
        <v>1</v>
      </c>
      <c r="B3" s="55" t="s">
        <v>109</v>
      </c>
      <c r="C3" s="74" t="s">
        <v>73</v>
      </c>
      <c r="D3" s="4" t="s">
        <v>110</v>
      </c>
      <c r="E3" s="19" t="s">
        <v>111</v>
      </c>
      <c r="F3" s="67">
        <v>0.125</v>
      </c>
      <c r="G3" s="4" t="s">
        <v>112</v>
      </c>
      <c r="H3" s="71" t="s">
        <v>113</v>
      </c>
      <c r="I3" s="19"/>
      <c r="J3" s="19"/>
      <c r="K3" s="6" t="s">
        <v>114</v>
      </c>
      <c r="L3" s="2"/>
      <c r="M3" s="63" t="s">
        <v>115</v>
      </c>
      <c r="N3" s="78">
        <f>COUNTIF(C3:C10,"Yes")</f>
        <v>8</v>
      </c>
    </row>
    <row r="4" spans="1:14" ht="47.05" customHeight="1">
      <c r="A4" s="66">
        <v>2</v>
      </c>
      <c r="B4" s="56" t="s">
        <v>116</v>
      </c>
      <c r="C4" s="75" t="s">
        <v>73</v>
      </c>
      <c r="D4" s="36" t="s">
        <v>117</v>
      </c>
      <c r="E4" s="61" t="s">
        <v>111</v>
      </c>
      <c r="F4" s="67">
        <v>0.125</v>
      </c>
      <c r="G4" s="36" t="s">
        <v>112</v>
      </c>
      <c r="H4" s="72" t="s">
        <v>113</v>
      </c>
      <c r="I4" s="62"/>
      <c r="J4" s="62"/>
      <c r="K4" s="38" t="s">
        <v>114</v>
      </c>
      <c r="L4" s="2"/>
      <c r="M4" s="64" t="s">
        <v>118</v>
      </c>
      <c r="N4" s="79">
        <f>SUM(F3:F10)</f>
        <v>1</v>
      </c>
    </row>
    <row r="5" spans="1:14" ht="47.05" customHeight="1">
      <c r="A5" s="66">
        <v>3</v>
      </c>
      <c r="B5" s="57" t="s">
        <v>119</v>
      </c>
      <c r="C5" s="76" t="s">
        <v>73</v>
      </c>
      <c r="D5" s="8" t="s">
        <v>120</v>
      </c>
      <c r="E5" s="19" t="s">
        <v>111</v>
      </c>
      <c r="F5" s="67">
        <v>0.125</v>
      </c>
      <c r="G5" s="8" t="s">
        <v>112</v>
      </c>
      <c r="H5" s="73" t="s">
        <v>113</v>
      </c>
      <c r="I5" s="20"/>
      <c r="J5" s="20"/>
      <c r="K5" s="10" t="s">
        <v>114</v>
      </c>
      <c r="L5" s="2"/>
      <c r="M5" s="64" t="s">
        <v>121</v>
      </c>
      <c r="N5" s="80" t="str">
        <f>IF(ABS(N4-1)&lt;0.0001,"Pass","Needs check")</f>
        <v>Pass</v>
      </c>
    </row>
    <row r="6" spans="1:14" ht="47.05" customHeight="1">
      <c r="A6" s="66">
        <v>4</v>
      </c>
      <c r="B6" s="56" t="s">
        <v>122</v>
      </c>
      <c r="C6" s="75" t="s">
        <v>73</v>
      </c>
      <c r="D6" s="36" t="s">
        <v>123</v>
      </c>
      <c r="E6" s="61" t="s">
        <v>111</v>
      </c>
      <c r="F6" s="67">
        <v>0.125</v>
      </c>
      <c r="G6" s="36" t="s">
        <v>112</v>
      </c>
      <c r="H6" s="72" t="s">
        <v>113</v>
      </c>
      <c r="I6" s="62"/>
      <c r="J6" s="62"/>
      <c r="K6" s="38" t="s">
        <v>114</v>
      </c>
      <c r="L6" s="2"/>
      <c r="M6" s="77" t="s">
        <v>124</v>
      </c>
      <c r="N6" s="81">
        <f>COUNTIFS(C3:C10,"Yes",F3:F10,"")</f>
        <v>0</v>
      </c>
    </row>
    <row r="7" spans="1:14" ht="47.05" customHeight="1">
      <c r="A7" s="66">
        <v>5</v>
      </c>
      <c r="B7" s="57" t="s">
        <v>125</v>
      </c>
      <c r="C7" s="76" t="s">
        <v>73</v>
      </c>
      <c r="D7" s="8" t="s">
        <v>126</v>
      </c>
      <c r="E7" s="19" t="s">
        <v>111</v>
      </c>
      <c r="F7" s="67">
        <v>0.125</v>
      </c>
      <c r="G7" s="8" t="s">
        <v>112</v>
      </c>
      <c r="H7" s="73" t="s">
        <v>113</v>
      </c>
      <c r="I7" s="20"/>
      <c r="J7" s="20"/>
      <c r="K7" s="10" t="s">
        <v>114</v>
      </c>
      <c r="L7" s="2"/>
      <c r="M7" s="2"/>
      <c r="N7" s="2"/>
    </row>
    <row r="8" spans="1:14" ht="47.05" customHeight="1">
      <c r="A8" s="66">
        <v>6</v>
      </c>
      <c r="B8" s="56" t="s">
        <v>127</v>
      </c>
      <c r="C8" s="75" t="s">
        <v>73</v>
      </c>
      <c r="D8" s="36" t="s">
        <v>128</v>
      </c>
      <c r="E8" s="61" t="s">
        <v>111</v>
      </c>
      <c r="F8" s="67">
        <v>0.125</v>
      </c>
      <c r="G8" s="36" t="s">
        <v>112</v>
      </c>
      <c r="H8" s="72" t="s">
        <v>113</v>
      </c>
      <c r="I8" s="62"/>
      <c r="J8" s="62"/>
      <c r="K8" s="38" t="s">
        <v>114</v>
      </c>
      <c r="L8" s="2"/>
      <c r="M8" s="2"/>
      <c r="N8" s="2"/>
    </row>
    <row r="9" spans="1:14" ht="47.05" customHeight="1">
      <c r="A9" s="66">
        <v>7</v>
      </c>
      <c r="B9" s="57" t="s">
        <v>129</v>
      </c>
      <c r="C9" s="76" t="s">
        <v>73</v>
      </c>
      <c r="D9" s="8" t="s">
        <v>130</v>
      </c>
      <c r="E9" s="19" t="s">
        <v>111</v>
      </c>
      <c r="F9" s="67">
        <v>0.125</v>
      </c>
      <c r="G9" s="8" t="s">
        <v>112</v>
      </c>
      <c r="H9" s="73" t="s">
        <v>113</v>
      </c>
      <c r="I9" s="20"/>
      <c r="J9" s="20"/>
      <c r="K9" s="10" t="s">
        <v>114</v>
      </c>
      <c r="L9" s="2"/>
      <c r="M9" s="2"/>
      <c r="N9" s="2"/>
    </row>
    <row r="10" spans="1:14" ht="47.05" customHeight="1">
      <c r="A10" s="66">
        <v>8</v>
      </c>
      <c r="B10" s="56" t="s">
        <v>131</v>
      </c>
      <c r="C10" s="75" t="s">
        <v>73</v>
      </c>
      <c r="D10" s="36" t="s">
        <v>132</v>
      </c>
      <c r="E10" s="61" t="s">
        <v>111</v>
      </c>
      <c r="F10" s="67">
        <v>0.125</v>
      </c>
      <c r="G10" s="36" t="s">
        <v>112</v>
      </c>
      <c r="H10" s="72" t="s">
        <v>113</v>
      </c>
      <c r="I10" s="62"/>
      <c r="J10" s="62"/>
      <c r="K10" s="38" t="s">
        <v>114</v>
      </c>
      <c r="L10" s="2"/>
      <c r="M10" s="2"/>
      <c r="N10" s="2"/>
    </row>
  </sheetData>
  <mergeCells count="1">
    <mergeCell ref="A1:K1"/>
  </mergeCells>
  <phoneticPr fontId="20" type="noConversion"/>
  <conditionalFormatting sqref="N5">
    <cfRule type="expression" dxfId="12" priority="1">
      <formula>N5="通过"</formula>
    </cfRule>
    <cfRule type="expression" dxfId="11" priority="2">
      <formula>N5="需检查"</formula>
    </cfRule>
  </conditionalFormatting>
  <dataValidations count="2">
    <dataValidation type="list" sqref="C3:C10" xr:uid="{00000000-0002-0000-0200-000000000000}">
      <formula1>"是,否"</formula1>
    </dataValidation>
    <dataValidation type="list" sqref="G3:G10" xr:uid="{00000000-0002-0000-0200-000001000000}">
      <formula1>"官方概率,等概率,样本估计,其他"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99"/>
  <sheetViews>
    <sheetView zoomScale="70" zoomScaleNormal="70" workbookViewId="0">
      <pane xSplit="2" ySplit="2" topLeftCell="H3" activePane="bottomRight" state="frozen"/>
      <selection pane="topRight"/>
      <selection pane="bottomLeft"/>
      <selection pane="bottomRight" activeCell="H7" sqref="H7"/>
    </sheetView>
  </sheetViews>
  <sheetFormatPr defaultColWidth="8.85546875" defaultRowHeight="14.15"/>
  <cols>
    <col min="1" max="1" width="14" customWidth="1"/>
    <col min="2" max="2" width="30" customWidth="1"/>
    <col min="3" max="3" width="15" customWidth="1"/>
    <col min="4" max="4" width="59" customWidth="1"/>
    <col min="5" max="5" width="43" customWidth="1"/>
    <col min="6" max="6" width="20" customWidth="1"/>
    <col min="7" max="7" width="19" customWidth="1"/>
    <col min="8" max="8" width="21" customWidth="1"/>
    <col min="9" max="9" width="19" customWidth="1"/>
    <col min="10" max="10" width="17" customWidth="1"/>
    <col min="11" max="11" width="21" customWidth="1"/>
    <col min="12" max="12" width="14" customWidth="1"/>
    <col min="13" max="13" width="22" customWidth="1"/>
    <col min="14" max="14" width="24" customWidth="1"/>
    <col min="15" max="15" width="20" customWidth="1"/>
    <col min="16" max="16" width="31" customWidth="1"/>
    <col min="17" max="17" width="26" customWidth="1"/>
    <col min="18" max="18" width="16" customWidth="1"/>
    <col min="19" max="19" width="22" customWidth="1"/>
    <col min="20" max="20" width="24" customWidth="1"/>
    <col min="21" max="21" width="45" customWidth="1"/>
    <col min="22" max="22" width="20" customWidth="1"/>
    <col min="23" max="23" width="28" customWidth="1"/>
    <col min="24" max="24" width="49" customWidth="1"/>
  </cols>
  <sheetData>
    <row r="1" spans="1:24" ht="37" customHeight="1">
      <c r="A1" s="152" t="s">
        <v>133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4" ht="53.05" customHeight="1">
      <c r="A2" s="17" t="s">
        <v>134</v>
      </c>
      <c r="B2" s="18" t="s">
        <v>97</v>
      </c>
      <c r="C2" s="18" t="s">
        <v>135</v>
      </c>
      <c r="D2" s="18" t="s">
        <v>136</v>
      </c>
      <c r="E2" s="18" t="s">
        <v>137</v>
      </c>
      <c r="F2" s="18" t="s">
        <v>138</v>
      </c>
      <c r="G2" s="18" t="s">
        <v>139</v>
      </c>
      <c r="H2" s="18" t="s">
        <v>140</v>
      </c>
      <c r="I2" s="18" t="s">
        <v>141</v>
      </c>
      <c r="J2" s="18" t="s">
        <v>142</v>
      </c>
      <c r="K2" s="32" t="s">
        <v>143</v>
      </c>
      <c r="L2" s="18" t="s">
        <v>144</v>
      </c>
      <c r="M2" s="32" t="s">
        <v>145</v>
      </c>
      <c r="N2" s="18" t="s">
        <v>146</v>
      </c>
      <c r="O2" s="18" t="s">
        <v>147</v>
      </c>
      <c r="P2" s="18" t="s">
        <v>148</v>
      </c>
      <c r="Q2" s="18" t="s">
        <v>149</v>
      </c>
      <c r="R2" s="18" t="s">
        <v>150</v>
      </c>
      <c r="S2" s="18" t="s">
        <v>151</v>
      </c>
      <c r="T2" s="32" t="s">
        <v>152</v>
      </c>
      <c r="U2" s="18" t="s">
        <v>153</v>
      </c>
      <c r="V2" s="119" t="s">
        <v>154</v>
      </c>
      <c r="W2" s="119" t="s">
        <v>155</v>
      </c>
      <c r="X2" s="21" t="s">
        <v>106</v>
      </c>
    </row>
    <row r="3" spans="1:24" ht="43" customHeight="1">
      <c r="A3" s="87">
        <v>1</v>
      </c>
      <c r="B3" s="55" t="s">
        <v>109</v>
      </c>
      <c r="C3" s="4" t="s">
        <v>156</v>
      </c>
      <c r="D3" s="4" t="s">
        <v>157</v>
      </c>
      <c r="E3" s="71" t="s">
        <v>158</v>
      </c>
      <c r="F3" s="23">
        <v>46239</v>
      </c>
      <c r="G3" s="104">
        <v>45</v>
      </c>
      <c r="H3" s="104" t="s">
        <v>73</v>
      </c>
      <c r="I3" s="104">
        <v>0</v>
      </c>
      <c r="J3" s="104">
        <v>0</v>
      </c>
      <c r="K3" s="109">
        <f t="shared" ref="K3:K34" si="0">IF(OR(G3="",G3=0),"",G3+IF(I3="",0,I3)+IF(J3="",0,J3))</f>
        <v>45</v>
      </c>
      <c r="L3" s="112">
        <v>1</v>
      </c>
      <c r="M3" s="109">
        <f t="shared" ref="M3:M34" si="1">IF(OR(K3="",L3=0),"",K3/L3)</f>
        <v>45</v>
      </c>
      <c r="N3" s="8" t="s">
        <v>159</v>
      </c>
      <c r="O3" s="4" t="s">
        <v>160</v>
      </c>
      <c r="P3" s="4" t="s">
        <v>161</v>
      </c>
      <c r="Q3" s="74" t="s">
        <v>73</v>
      </c>
      <c r="R3" s="74" t="s">
        <v>162</v>
      </c>
      <c r="S3" s="74" t="s">
        <v>162</v>
      </c>
      <c r="T3" s="74" t="s">
        <v>73</v>
      </c>
      <c r="U3" s="4"/>
      <c r="V3" s="68" t="s">
        <v>163</v>
      </c>
      <c r="W3" s="68" t="s">
        <v>164</v>
      </c>
      <c r="X3" s="6"/>
    </row>
    <row r="4" spans="1:24" ht="43" customHeight="1">
      <c r="A4" s="88">
        <v>2</v>
      </c>
      <c r="B4" s="56" t="s">
        <v>109</v>
      </c>
      <c r="C4" s="36" t="s">
        <v>156</v>
      </c>
      <c r="D4" s="36" t="s">
        <v>165</v>
      </c>
      <c r="E4" s="72" t="s">
        <v>166</v>
      </c>
      <c r="F4" s="53">
        <v>46239</v>
      </c>
      <c r="G4" s="105">
        <v>70</v>
      </c>
      <c r="H4" s="105" t="s">
        <v>73</v>
      </c>
      <c r="I4" s="105">
        <v>0</v>
      </c>
      <c r="J4" s="105">
        <v>0</v>
      </c>
      <c r="K4" s="110">
        <f t="shared" si="0"/>
        <v>70</v>
      </c>
      <c r="L4" s="113">
        <v>1</v>
      </c>
      <c r="M4" s="110">
        <f t="shared" si="1"/>
        <v>70</v>
      </c>
      <c r="N4" s="36" t="s">
        <v>159</v>
      </c>
      <c r="O4" s="82" t="s">
        <v>160</v>
      </c>
      <c r="P4" s="36" t="s">
        <v>161</v>
      </c>
      <c r="Q4" s="75" t="s">
        <v>73</v>
      </c>
      <c r="R4" s="75" t="s">
        <v>162</v>
      </c>
      <c r="S4" s="75" t="s">
        <v>162</v>
      </c>
      <c r="T4" s="75" t="s">
        <v>73</v>
      </c>
      <c r="U4" s="36"/>
      <c r="V4" s="103" t="s">
        <v>167</v>
      </c>
      <c r="W4" s="103" t="s">
        <v>168</v>
      </c>
      <c r="X4" s="38"/>
    </row>
    <row r="5" spans="1:24" ht="43" customHeight="1">
      <c r="A5" s="87">
        <v>3</v>
      </c>
      <c r="B5" s="57" t="s">
        <v>109</v>
      </c>
      <c r="C5" s="8" t="s">
        <v>156</v>
      </c>
      <c r="D5" s="8" t="s">
        <v>169</v>
      </c>
      <c r="E5" s="73" t="s">
        <v>170</v>
      </c>
      <c r="F5" s="14">
        <v>46239</v>
      </c>
      <c r="G5" s="106">
        <v>60</v>
      </c>
      <c r="H5" s="106" t="s">
        <v>73</v>
      </c>
      <c r="I5" s="106"/>
      <c r="J5" s="106">
        <v>0</v>
      </c>
      <c r="K5" s="110">
        <f t="shared" si="0"/>
        <v>60</v>
      </c>
      <c r="L5" s="114">
        <v>1</v>
      </c>
      <c r="M5" s="110">
        <f t="shared" si="1"/>
        <v>60</v>
      </c>
      <c r="N5" s="8" t="s">
        <v>159</v>
      </c>
      <c r="O5" s="4" t="s">
        <v>160</v>
      </c>
      <c r="P5" s="8" t="s">
        <v>171</v>
      </c>
      <c r="Q5" s="76" t="s">
        <v>73</v>
      </c>
      <c r="R5" s="76" t="s">
        <v>162</v>
      </c>
      <c r="S5" s="76" t="s">
        <v>162</v>
      </c>
      <c r="T5" s="76" t="s">
        <v>73</v>
      </c>
      <c r="U5" s="8"/>
      <c r="V5" s="68" t="s">
        <v>172</v>
      </c>
      <c r="W5" s="68" t="s">
        <v>173</v>
      </c>
      <c r="X5" s="10"/>
    </row>
    <row r="6" spans="1:24" ht="43" customHeight="1">
      <c r="A6" s="88">
        <v>4</v>
      </c>
      <c r="B6" s="56" t="s">
        <v>109</v>
      </c>
      <c r="C6" s="36" t="s">
        <v>156</v>
      </c>
      <c r="D6" s="36" t="s">
        <v>174</v>
      </c>
      <c r="E6" s="72" t="s">
        <v>175</v>
      </c>
      <c r="F6" s="53">
        <v>46239</v>
      </c>
      <c r="G6" s="105">
        <v>44</v>
      </c>
      <c r="H6" s="105" t="s">
        <v>176</v>
      </c>
      <c r="I6" s="105"/>
      <c r="J6" s="105">
        <v>0</v>
      </c>
      <c r="K6" s="110">
        <f t="shared" si="0"/>
        <v>44</v>
      </c>
      <c r="L6" s="113">
        <v>1</v>
      </c>
      <c r="M6" s="110">
        <f t="shared" si="1"/>
        <v>44</v>
      </c>
      <c r="N6" s="36" t="s">
        <v>159</v>
      </c>
      <c r="O6" s="82" t="s">
        <v>160</v>
      </c>
      <c r="P6" s="36" t="s">
        <v>177</v>
      </c>
      <c r="Q6" s="75" t="s">
        <v>73</v>
      </c>
      <c r="R6" s="75" t="s">
        <v>162</v>
      </c>
      <c r="S6" s="75" t="s">
        <v>162</v>
      </c>
      <c r="T6" s="75" t="s">
        <v>73</v>
      </c>
      <c r="U6" s="36"/>
      <c r="V6" s="103" t="s">
        <v>178</v>
      </c>
      <c r="W6" s="103" t="s">
        <v>179</v>
      </c>
      <c r="X6" s="38"/>
    </row>
    <row r="7" spans="1:24" ht="43" customHeight="1">
      <c r="A7" s="87">
        <v>5</v>
      </c>
      <c r="B7" s="57" t="s">
        <v>116</v>
      </c>
      <c r="C7" s="8" t="s">
        <v>156</v>
      </c>
      <c r="D7" s="8" t="s">
        <v>180</v>
      </c>
      <c r="E7" s="73" t="s">
        <v>181</v>
      </c>
      <c r="F7" s="14">
        <v>46239</v>
      </c>
      <c r="G7" s="106">
        <v>70</v>
      </c>
      <c r="H7" s="106" t="s">
        <v>162</v>
      </c>
      <c r="I7" s="106">
        <v>10</v>
      </c>
      <c r="J7" s="106">
        <v>0</v>
      </c>
      <c r="K7" s="110">
        <f t="shared" si="0"/>
        <v>80</v>
      </c>
      <c r="L7" s="114">
        <v>1</v>
      </c>
      <c r="M7" s="110">
        <f t="shared" si="1"/>
        <v>80</v>
      </c>
      <c r="N7" s="8" t="s">
        <v>159</v>
      </c>
      <c r="O7" s="4" t="s">
        <v>160</v>
      </c>
      <c r="P7" s="8" t="s">
        <v>171</v>
      </c>
      <c r="Q7" s="76" t="s">
        <v>73</v>
      </c>
      <c r="R7" s="76" t="s">
        <v>162</v>
      </c>
      <c r="S7" s="76" t="s">
        <v>162</v>
      </c>
      <c r="T7" s="76" t="s">
        <v>73</v>
      </c>
      <c r="U7" s="8"/>
      <c r="V7" s="68" t="s">
        <v>182</v>
      </c>
      <c r="W7" s="68" t="s">
        <v>183</v>
      </c>
      <c r="X7" s="10"/>
    </row>
    <row r="8" spans="1:24" ht="43" customHeight="1">
      <c r="A8" s="88">
        <v>6</v>
      </c>
      <c r="B8" s="56" t="s">
        <v>116</v>
      </c>
      <c r="C8" s="36" t="s">
        <v>156</v>
      </c>
      <c r="D8" s="36" t="s">
        <v>184</v>
      </c>
      <c r="E8" s="72" t="s">
        <v>185</v>
      </c>
      <c r="F8" s="53">
        <v>46239</v>
      </c>
      <c r="G8" s="105">
        <v>68</v>
      </c>
      <c r="H8" s="105" t="s">
        <v>162</v>
      </c>
      <c r="I8" s="105">
        <v>12</v>
      </c>
      <c r="J8" s="105">
        <v>0</v>
      </c>
      <c r="K8" s="110">
        <f t="shared" si="0"/>
        <v>80</v>
      </c>
      <c r="L8" s="113">
        <v>1</v>
      </c>
      <c r="M8" s="110">
        <f t="shared" si="1"/>
        <v>80</v>
      </c>
      <c r="N8" s="36" t="s">
        <v>159</v>
      </c>
      <c r="O8" s="82" t="s">
        <v>160</v>
      </c>
      <c r="P8" s="36" t="s">
        <v>171</v>
      </c>
      <c r="Q8" s="75" t="s">
        <v>73</v>
      </c>
      <c r="R8" s="75" t="s">
        <v>162</v>
      </c>
      <c r="S8" s="75" t="s">
        <v>162</v>
      </c>
      <c r="T8" s="75" t="s">
        <v>73</v>
      </c>
      <c r="U8" s="36"/>
      <c r="V8" s="103" t="s">
        <v>186</v>
      </c>
      <c r="W8" s="103" t="s">
        <v>187</v>
      </c>
      <c r="X8" s="38"/>
    </row>
    <row r="9" spans="1:24" ht="43" customHeight="1">
      <c r="A9" s="87">
        <v>7</v>
      </c>
      <c r="B9" s="57" t="s">
        <v>109</v>
      </c>
      <c r="C9" s="8" t="s">
        <v>156</v>
      </c>
      <c r="D9" s="8" t="s">
        <v>188</v>
      </c>
      <c r="E9" s="73" t="s">
        <v>189</v>
      </c>
      <c r="F9" s="14">
        <v>46239</v>
      </c>
      <c r="G9" s="106">
        <v>45.9</v>
      </c>
      <c r="H9" s="106" t="s">
        <v>162</v>
      </c>
      <c r="I9" s="106">
        <v>12</v>
      </c>
      <c r="J9" s="106">
        <v>0</v>
      </c>
      <c r="K9" s="110">
        <f t="shared" si="0"/>
        <v>57.9</v>
      </c>
      <c r="L9" s="114">
        <v>1</v>
      </c>
      <c r="M9" s="110">
        <f t="shared" si="1"/>
        <v>57.9</v>
      </c>
      <c r="N9" s="8" t="s">
        <v>159</v>
      </c>
      <c r="O9" s="4" t="s">
        <v>160</v>
      </c>
      <c r="P9" s="8" t="s">
        <v>161</v>
      </c>
      <c r="Q9" s="76" t="s">
        <v>73</v>
      </c>
      <c r="R9" s="76" t="s">
        <v>162</v>
      </c>
      <c r="S9" s="76" t="s">
        <v>162</v>
      </c>
      <c r="T9" s="76" t="s">
        <v>73</v>
      </c>
      <c r="U9" s="8"/>
      <c r="V9" s="68" t="s">
        <v>190</v>
      </c>
      <c r="W9" s="68" t="s">
        <v>191</v>
      </c>
      <c r="X9" s="10"/>
    </row>
    <row r="10" spans="1:24" ht="43" customHeight="1">
      <c r="A10" s="88">
        <v>8</v>
      </c>
      <c r="B10" s="56" t="s">
        <v>116</v>
      </c>
      <c r="C10" s="36" t="s">
        <v>156</v>
      </c>
      <c r="D10" s="36" t="s">
        <v>192</v>
      </c>
      <c r="E10" s="72" t="s">
        <v>193</v>
      </c>
      <c r="F10" s="53">
        <v>46239</v>
      </c>
      <c r="G10" s="105">
        <v>58</v>
      </c>
      <c r="H10" s="105" t="s">
        <v>176</v>
      </c>
      <c r="I10" s="105">
        <v>0</v>
      </c>
      <c r="J10" s="105">
        <v>0</v>
      </c>
      <c r="K10" s="110">
        <f t="shared" si="0"/>
        <v>58</v>
      </c>
      <c r="L10" s="113">
        <v>1</v>
      </c>
      <c r="M10" s="110">
        <f t="shared" si="1"/>
        <v>58</v>
      </c>
      <c r="N10" s="36" t="s">
        <v>159</v>
      </c>
      <c r="O10" s="82" t="s">
        <v>160</v>
      </c>
      <c r="P10" s="36" t="s">
        <v>194</v>
      </c>
      <c r="Q10" s="75" t="s">
        <v>73</v>
      </c>
      <c r="R10" s="75" t="s">
        <v>162</v>
      </c>
      <c r="S10" s="75" t="s">
        <v>162</v>
      </c>
      <c r="T10" s="75" t="s">
        <v>73</v>
      </c>
      <c r="U10" s="36"/>
      <c r="V10" s="103" t="s">
        <v>195</v>
      </c>
      <c r="W10" s="103" t="s">
        <v>196</v>
      </c>
      <c r="X10" s="38"/>
    </row>
    <row r="11" spans="1:24" ht="43" customHeight="1">
      <c r="A11" s="87">
        <v>9</v>
      </c>
      <c r="B11" s="57" t="s">
        <v>116</v>
      </c>
      <c r="C11" s="8" t="s">
        <v>156</v>
      </c>
      <c r="D11" s="8" t="s">
        <v>192</v>
      </c>
      <c r="E11" s="73" t="s">
        <v>197</v>
      </c>
      <c r="F11" s="14">
        <v>46239</v>
      </c>
      <c r="G11" s="106">
        <v>67</v>
      </c>
      <c r="H11" s="106" t="s">
        <v>162</v>
      </c>
      <c r="I11" s="106">
        <v>12</v>
      </c>
      <c r="J11" s="106">
        <v>0</v>
      </c>
      <c r="K11" s="110">
        <f t="shared" si="0"/>
        <v>79</v>
      </c>
      <c r="L11" s="114">
        <v>1</v>
      </c>
      <c r="M11" s="110">
        <f t="shared" si="1"/>
        <v>79</v>
      </c>
      <c r="N11" s="8" t="s">
        <v>159</v>
      </c>
      <c r="O11" s="4" t="s">
        <v>160</v>
      </c>
      <c r="P11" s="8" t="s">
        <v>177</v>
      </c>
      <c r="Q11" s="76" t="s">
        <v>73</v>
      </c>
      <c r="R11" s="76" t="s">
        <v>162</v>
      </c>
      <c r="S11" s="76" t="s">
        <v>162</v>
      </c>
      <c r="T11" s="76" t="s">
        <v>73</v>
      </c>
      <c r="U11" s="8"/>
      <c r="V11" s="68" t="s">
        <v>198</v>
      </c>
      <c r="W11" s="68" t="s">
        <v>199</v>
      </c>
      <c r="X11" s="10"/>
    </row>
    <row r="12" spans="1:24" ht="43" customHeight="1">
      <c r="A12" s="88">
        <v>10</v>
      </c>
      <c r="B12" s="56" t="s">
        <v>116</v>
      </c>
      <c r="C12" s="36" t="s">
        <v>156</v>
      </c>
      <c r="D12" s="36" t="s">
        <v>200</v>
      </c>
      <c r="E12" s="72" t="s">
        <v>201</v>
      </c>
      <c r="F12" s="53">
        <v>46241</v>
      </c>
      <c r="G12" s="105">
        <v>50</v>
      </c>
      <c r="H12" s="105" t="s">
        <v>73</v>
      </c>
      <c r="I12" s="105">
        <v>0</v>
      </c>
      <c r="J12" s="105">
        <v>0</v>
      </c>
      <c r="K12" s="110">
        <f t="shared" si="0"/>
        <v>50</v>
      </c>
      <c r="L12" s="113">
        <v>1</v>
      </c>
      <c r="M12" s="110">
        <f t="shared" si="1"/>
        <v>50</v>
      </c>
      <c r="N12" s="36" t="s">
        <v>159</v>
      </c>
      <c r="O12" s="82" t="s">
        <v>160</v>
      </c>
      <c r="P12" s="36" t="s">
        <v>161</v>
      </c>
      <c r="Q12" s="75" t="s">
        <v>73</v>
      </c>
      <c r="R12" s="75" t="s">
        <v>162</v>
      </c>
      <c r="S12" s="75" t="s">
        <v>162</v>
      </c>
      <c r="T12" s="75" t="s">
        <v>73</v>
      </c>
      <c r="U12" s="36"/>
      <c r="V12" s="103" t="s">
        <v>202</v>
      </c>
      <c r="W12" s="103" t="s">
        <v>203</v>
      </c>
      <c r="X12" s="38"/>
    </row>
    <row r="13" spans="1:24" ht="43" customHeight="1">
      <c r="A13" s="87">
        <v>11</v>
      </c>
      <c r="B13" s="57" t="s">
        <v>116</v>
      </c>
      <c r="C13" s="8" t="s">
        <v>156</v>
      </c>
      <c r="D13" s="8" t="s">
        <v>204</v>
      </c>
      <c r="E13" s="73" t="s">
        <v>205</v>
      </c>
      <c r="F13" s="14">
        <v>46241</v>
      </c>
      <c r="G13" s="106">
        <v>56</v>
      </c>
      <c r="H13" s="106" t="s">
        <v>73</v>
      </c>
      <c r="I13" s="106">
        <v>0</v>
      </c>
      <c r="J13" s="106">
        <v>0</v>
      </c>
      <c r="K13" s="110">
        <f t="shared" si="0"/>
        <v>56</v>
      </c>
      <c r="L13" s="114">
        <v>1</v>
      </c>
      <c r="M13" s="110">
        <f t="shared" si="1"/>
        <v>56</v>
      </c>
      <c r="N13" s="8" t="s">
        <v>159</v>
      </c>
      <c r="O13" s="4" t="s">
        <v>160</v>
      </c>
      <c r="P13" s="8" t="s">
        <v>161</v>
      </c>
      <c r="Q13" s="76" t="s">
        <v>73</v>
      </c>
      <c r="R13" s="76" t="s">
        <v>162</v>
      </c>
      <c r="S13" s="76" t="s">
        <v>162</v>
      </c>
      <c r="T13" s="76" t="s">
        <v>73</v>
      </c>
      <c r="U13" s="8"/>
      <c r="V13" s="68" t="s">
        <v>206</v>
      </c>
      <c r="W13" s="68" t="s">
        <v>207</v>
      </c>
      <c r="X13" s="10"/>
    </row>
    <row r="14" spans="1:24" ht="43" customHeight="1">
      <c r="A14" s="88">
        <v>12</v>
      </c>
      <c r="B14" s="56" t="s">
        <v>109</v>
      </c>
      <c r="C14" s="36" t="s">
        <v>156</v>
      </c>
      <c r="D14" s="36" t="s">
        <v>208</v>
      </c>
      <c r="E14" s="72" t="s">
        <v>209</v>
      </c>
      <c r="F14" s="53">
        <v>46241</v>
      </c>
      <c r="G14" s="105">
        <v>50</v>
      </c>
      <c r="H14" s="105" t="s">
        <v>162</v>
      </c>
      <c r="I14" s="105">
        <v>10</v>
      </c>
      <c r="J14" s="105">
        <v>0</v>
      </c>
      <c r="K14" s="110">
        <f t="shared" si="0"/>
        <v>60</v>
      </c>
      <c r="L14" s="113">
        <v>1</v>
      </c>
      <c r="M14" s="110">
        <f t="shared" si="1"/>
        <v>60</v>
      </c>
      <c r="N14" s="36" t="s">
        <v>159</v>
      </c>
      <c r="O14" s="82" t="s">
        <v>160</v>
      </c>
      <c r="P14" s="36" t="s">
        <v>177</v>
      </c>
      <c r="Q14" s="75" t="s">
        <v>73</v>
      </c>
      <c r="R14" s="75" t="s">
        <v>162</v>
      </c>
      <c r="S14" s="75" t="s">
        <v>162</v>
      </c>
      <c r="T14" s="75" t="s">
        <v>73</v>
      </c>
      <c r="U14" s="36"/>
      <c r="V14" s="103" t="s">
        <v>210</v>
      </c>
      <c r="W14" s="103" t="s">
        <v>211</v>
      </c>
      <c r="X14" s="38"/>
    </row>
    <row r="15" spans="1:24" ht="43" customHeight="1">
      <c r="A15" s="87">
        <v>13</v>
      </c>
      <c r="B15" s="57" t="s">
        <v>109</v>
      </c>
      <c r="C15" s="8" t="s">
        <v>156</v>
      </c>
      <c r="D15" s="8" t="s">
        <v>212</v>
      </c>
      <c r="E15" s="73" t="s">
        <v>213</v>
      </c>
      <c r="F15" s="14">
        <v>46241</v>
      </c>
      <c r="G15" s="106">
        <v>48.29</v>
      </c>
      <c r="H15" s="106" t="s">
        <v>73</v>
      </c>
      <c r="I15" s="106">
        <v>0</v>
      </c>
      <c r="J15" s="106">
        <v>0</v>
      </c>
      <c r="K15" s="110">
        <f t="shared" si="0"/>
        <v>48.29</v>
      </c>
      <c r="L15" s="114">
        <v>1</v>
      </c>
      <c r="M15" s="110">
        <f t="shared" si="1"/>
        <v>48.29</v>
      </c>
      <c r="N15" s="8" t="s">
        <v>159</v>
      </c>
      <c r="O15" s="4" t="s">
        <v>160</v>
      </c>
      <c r="P15" s="8" t="s">
        <v>214</v>
      </c>
      <c r="Q15" s="76" t="s">
        <v>73</v>
      </c>
      <c r="R15" s="76" t="s">
        <v>162</v>
      </c>
      <c r="S15" s="76" t="s">
        <v>162</v>
      </c>
      <c r="T15" s="76" t="s">
        <v>73</v>
      </c>
      <c r="U15" s="8"/>
      <c r="V15" s="68" t="s">
        <v>215</v>
      </c>
      <c r="W15" s="68" t="s">
        <v>216</v>
      </c>
      <c r="X15" s="10"/>
    </row>
    <row r="16" spans="1:24" ht="43" customHeight="1">
      <c r="A16" s="88">
        <v>14</v>
      </c>
      <c r="B16" s="56" t="s">
        <v>109</v>
      </c>
      <c r="C16" s="36" t="s">
        <v>156</v>
      </c>
      <c r="D16" s="36" t="s">
        <v>217</v>
      </c>
      <c r="E16" s="72" t="s">
        <v>218</v>
      </c>
      <c r="F16" s="53">
        <v>46241</v>
      </c>
      <c r="G16" s="105">
        <v>60</v>
      </c>
      <c r="H16" s="105" t="s">
        <v>73</v>
      </c>
      <c r="I16" s="105"/>
      <c r="J16" s="105">
        <v>0</v>
      </c>
      <c r="K16" s="110">
        <f t="shared" si="0"/>
        <v>60</v>
      </c>
      <c r="L16" s="113">
        <v>1</v>
      </c>
      <c r="M16" s="110">
        <f t="shared" si="1"/>
        <v>60</v>
      </c>
      <c r="N16" s="36" t="s">
        <v>159</v>
      </c>
      <c r="O16" s="82" t="s">
        <v>160</v>
      </c>
      <c r="P16" s="36" t="s">
        <v>171</v>
      </c>
      <c r="Q16" s="75" t="s">
        <v>73</v>
      </c>
      <c r="R16" s="75" t="s">
        <v>162</v>
      </c>
      <c r="S16" s="75" t="s">
        <v>162</v>
      </c>
      <c r="T16" s="75" t="s">
        <v>73</v>
      </c>
      <c r="U16" s="36"/>
      <c r="V16" s="103" t="s">
        <v>219</v>
      </c>
      <c r="W16" s="103" t="s">
        <v>220</v>
      </c>
      <c r="X16" s="38"/>
    </row>
    <row r="17" spans="1:24" ht="43" customHeight="1">
      <c r="A17" s="87">
        <v>15</v>
      </c>
      <c r="B17" s="57" t="s">
        <v>109</v>
      </c>
      <c r="C17" s="8" t="s">
        <v>156</v>
      </c>
      <c r="D17" s="8" t="s">
        <v>221</v>
      </c>
      <c r="E17" s="73" t="s">
        <v>222</v>
      </c>
      <c r="F17" s="14">
        <v>46241</v>
      </c>
      <c r="G17" s="106">
        <v>63</v>
      </c>
      <c r="H17" s="106" t="s">
        <v>73</v>
      </c>
      <c r="I17" s="106"/>
      <c r="J17" s="106">
        <v>0</v>
      </c>
      <c r="K17" s="110">
        <f t="shared" si="0"/>
        <v>63</v>
      </c>
      <c r="L17" s="114">
        <v>1</v>
      </c>
      <c r="M17" s="110">
        <f t="shared" si="1"/>
        <v>63</v>
      </c>
      <c r="N17" s="8" t="s">
        <v>159</v>
      </c>
      <c r="O17" s="4" t="s">
        <v>160</v>
      </c>
      <c r="P17" s="8" t="s">
        <v>161</v>
      </c>
      <c r="Q17" s="76" t="s">
        <v>73</v>
      </c>
      <c r="R17" s="76" t="s">
        <v>162</v>
      </c>
      <c r="S17" s="76" t="s">
        <v>162</v>
      </c>
      <c r="T17" s="76" t="s">
        <v>73</v>
      </c>
      <c r="U17" s="8"/>
      <c r="V17" s="68" t="s">
        <v>223</v>
      </c>
      <c r="W17" s="68" t="s">
        <v>224</v>
      </c>
      <c r="X17" s="10"/>
    </row>
    <row r="18" spans="1:24" ht="43" customHeight="1">
      <c r="A18" s="88">
        <v>16</v>
      </c>
      <c r="B18" s="56" t="s">
        <v>125</v>
      </c>
      <c r="C18" s="36" t="s">
        <v>156</v>
      </c>
      <c r="D18" s="36" t="s">
        <v>225</v>
      </c>
      <c r="E18" s="72" t="s">
        <v>226</v>
      </c>
      <c r="F18" s="53">
        <v>46241</v>
      </c>
      <c r="G18" s="105">
        <v>70</v>
      </c>
      <c r="H18" s="105" t="s">
        <v>73</v>
      </c>
      <c r="I18" s="105"/>
      <c r="J18" s="105">
        <v>0</v>
      </c>
      <c r="K18" s="110">
        <f t="shared" si="0"/>
        <v>70</v>
      </c>
      <c r="L18" s="113">
        <v>2</v>
      </c>
      <c r="M18" s="110">
        <f t="shared" si="1"/>
        <v>35</v>
      </c>
      <c r="N18" s="36" t="s">
        <v>159</v>
      </c>
      <c r="O18" s="82" t="s">
        <v>160</v>
      </c>
      <c r="P18" s="36" t="s">
        <v>161</v>
      </c>
      <c r="Q18" s="75" t="s">
        <v>162</v>
      </c>
      <c r="R18" s="75" t="s">
        <v>73</v>
      </c>
      <c r="S18" s="75" t="s">
        <v>162</v>
      </c>
      <c r="T18" s="75" t="s">
        <v>162</v>
      </c>
      <c r="U18" s="36" t="s">
        <v>227</v>
      </c>
      <c r="V18" s="103" t="s">
        <v>228</v>
      </c>
      <c r="W18" s="103" t="s">
        <v>229</v>
      </c>
      <c r="X18" s="38"/>
    </row>
    <row r="19" spans="1:24" ht="43" customHeight="1">
      <c r="A19" s="87">
        <v>17</v>
      </c>
      <c r="B19" s="57" t="s">
        <v>122</v>
      </c>
      <c r="C19" s="8" t="s">
        <v>156</v>
      </c>
      <c r="D19" s="8" t="s">
        <v>230</v>
      </c>
      <c r="E19" s="73" t="s">
        <v>231</v>
      </c>
      <c r="F19" s="14">
        <v>46241</v>
      </c>
      <c r="G19" s="106">
        <v>64.400000000000006</v>
      </c>
      <c r="H19" s="106" t="s">
        <v>73</v>
      </c>
      <c r="I19" s="106"/>
      <c r="J19" s="106">
        <v>0</v>
      </c>
      <c r="K19" s="110">
        <f t="shared" si="0"/>
        <v>64.400000000000006</v>
      </c>
      <c r="L19" s="114">
        <v>1</v>
      </c>
      <c r="M19" s="110">
        <f t="shared" si="1"/>
        <v>64.400000000000006</v>
      </c>
      <c r="N19" s="8" t="s">
        <v>159</v>
      </c>
      <c r="O19" s="4" t="s">
        <v>160</v>
      </c>
      <c r="P19" s="8" t="s">
        <v>171</v>
      </c>
      <c r="Q19" s="76" t="s">
        <v>73</v>
      </c>
      <c r="R19" s="76" t="s">
        <v>162</v>
      </c>
      <c r="S19" s="76" t="s">
        <v>162</v>
      </c>
      <c r="T19" s="76" t="s">
        <v>73</v>
      </c>
      <c r="U19" s="8"/>
      <c r="V19" s="68" t="s">
        <v>232</v>
      </c>
      <c r="W19" s="68" t="s">
        <v>233</v>
      </c>
      <c r="X19" s="10"/>
    </row>
    <row r="20" spans="1:24" ht="43" customHeight="1">
      <c r="A20" s="88">
        <v>18</v>
      </c>
      <c r="B20" s="56" t="s">
        <v>122</v>
      </c>
      <c r="C20" s="36" t="s">
        <v>156</v>
      </c>
      <c r="D20" s="36" t="s">
        <v>234</v>
      </c>
      <c r="E20" s="72" t="s">
        <v>235</v>
      </c>
      <c r="F20" s="53">
        <v>46241</v>
      </c>
      <c r="G20" s="105">
        <v>60</v>
      </c>
      <c r="H20" s="105" t="s">
        <v>162</v>
      </c>
      <c r="I20" s="105">
        <v>6</v>
      </c>
      <c r="J20" s="105">
        <v>0</v>
      </c>
      <c r="K20" s="110">
        <f t="shared" si="0"/>
        <v>66</v>
      </c>
      <c r="L20" s="113">
        <v>1</v>
      </c>
      <c r="M20" s="110">
        <f t="shared" si="1"/>
        <v>66</v>
      </c>
      <c r="N20" s="36" t="s">
        <v>159</v>
      </c>
      <c r="O20" s="82" t="s">
        <v>160</v>
      </c>
      <c r="P20" s="36" t="s">
        <v>161</v>
      </c>
      <c r="Q20" s="75" t="s">
        <v>73</v>
      </c>
      <c r="R20" s="75" t="s">
        <v>162</v>
      </c>
      <c r="S20" s="75" t="s">
        <v>162</v>
      </c>
      <c r="T20" s="75" t="s">
        <v>73</v>
      </c>
      <c r="U20" s="36"/>
      <c r="V20" s="103" t="s">
        <v>236</v>
      </c>
      <c r="W20" s="103" t="s">
        <v>237</v>
      </c>
      <c r="X20" s="38"/>
    </row>
    <row r="21" spans="1:24" ht="43" customHeight="1">
      <c r="A21" s="87">
        <v>19</v>
      </c>
      <c r="B21" s="57" t="s">
        <v>122</v>
      </c>
      <c r="C21" s="8" t="s">
        <v>156</v>
      </c>
      <c r="D21" s="8" t="s">
        <v>238</v>
      </c>
      <c r="E21" s="73" t="s">
        <v>239</v>
      </c>
      <c r="F21" s="14">
        <v>46241</v>
      </c>
      <c r="G21" s="106">
        <v>45</v>
      </c>
      <c r="H21" s="106" t="s">
        <v>73</v>
      </c>
      <c r="I21" s="106"/>
      <c r="J21" s="106">
        <v>0</v>
      </c>
      <c r="K21" s="110">
        <f t="shared" si="0"/>
        <v>45</v>
      </c>
      <c r="L21" s="114">
        <v>1</v>
      </c>
      <c r="M21" s="110">
        <f t="shared" si="1"/>
        <v>45</v>
      </c>
      <c r="N21" s="8" t="s">
        <v>159</v>
      </c>
      <c r="O21" s="4" t="s">
        <v>160</v>
      </c>
      <c r="P21" s="8" t="s">
        <v>161</v>
      </c>
      <c r="Q21" s="76" t="s">
        <v>73</v>
      </c>
      <c r="R21" s="76" t="s">
        <v>162</v>
      </c>
      <c r="S21" s="76" t="s">
        <v>162</v>
      </c>
      <c r="T21" s="76" t="s">
        <v>73</v>
      </c>
      <c r="U21" s="8"/>
      <c r="V21" s="68" t="s">
        <v>240</v>
      </c>
      <c r="W21" s="68" t="s">
        <v>241</v>
      </c>
      <c r="X21" s="10"/>
    </row>
    <row r="22" spans="1:24" ht="43" customHeight="1">
      <c r="A22" s="88">
        <v>20</v>
      </c>
      <c r="B22" s="56" t="s">
        <v>119</v>
      </c>
      <c r="C22" s="36" t="s">
        <v>156</v>
      </c>
      <c r="D22" s="36" t="s">
        <v>242</v>
      </c>
      <c r="E22" s="72" t="s">
        <v>243</v>
      </c>
      <c r="F22" s="53">
        <v>46241</v>
      </c>
      <c r="G22" s="105">
        <v>45</v>
      </c>
      <c r="H22" s="105" t="s">
        <v>73</v>
      </c>
      <c r="I22" s="105"/>
      <c r="J22" s="105">
        <v>0</v>
      </c>
      <c r="K22" s="110">
        <f t="shared" si="0"/>
        <v>45</v>
      </c>
      <c r="L22" s="113">
        <v>1</v>
      </c>
      <c r="M22" s="110">
        <f t="shared" si="1"/>
        <v>45</v>
      </c>
      <c r="N22" s="36" t="s">
        <v>159</v>
      </c>
      <c r="O22" s="82" t="s">
        <v>160</v>
      </c>
      <c r="P22" s="36" t="s">
        <v>161</v>
      </c>
      <c r="Q22" s="75" t="s">
        <v>73</v>
      </c>
      <c r="R22" s="75" t="s">
        <v>162</v>
      </c>
      <c r="S22" s="75" t="s">
        <v>162</v>
      </c>
      <c r="T22" s="75" t="s">
        <v>73</v>
      </c>
      <c r="U22" s="36"/>
      <c r="V22" s="103" t="s">
        <v>244</v>
      </c>
      <c r="W22" s="103" t="s">
        <v>245</v>
      </c>
      <c r="X22" s="38"/>
    </row>
    <row r="23" spans="1:24" ht="43" customHeight="1">
      <c r="A23" s="87">
        <v>21</v>
      </c>
      <c r="B23" s="57" t="s">
        <v>119</v>
      </c>
      <c r="C23" s="8" t="s">
        <v>156</v>
      </c>
      <c r="D23" s="8" t="s">
        <v>246</v>
      </c>
      <c r="E23" s="73" t="s">
        <v>247</v>
      </c>
      <c r="F23" s="14" t="s">
        <v>248</v>
      </c>
      <c r="G23" s="106">
        <v>60</v>
      </c>
      <c r="H23" s="106" t="s">
        <v>73</v>
      </c>
      <c r="I23" s="106"/>
      <c r="J23" s="106">
        <v>0</v>
      </c>
      <c r="K23" s="110">
        <f t="shared" si="0"/>
        <v>60</v>
      </c>
      <c r="L23" s="114">
        <v>1</v>
      </c>
      <c r="M23" s="110">
        <f t="shared" si="1"/>
        <v>60</v>
      </c>
      <c r="N23" s="8" t="s">
        <v>159</v>
      </c>
      <c r="O23" s="4" t="s">
        <v>160</v>
      </c>
      <c r="P23" s="8" t="s">
        <v>161</v>
      </c>
      <c r="Q23" s="76" t="s">
        <v>73</v>
      </c>
      <c r="R23" s="76" t="s">
        <v>162</v>
      </c>
      <c r="S23" s="76" t="s">
        <v>162</v>
      </c>
      <c r="T23" s="76" t="s">
        <v>73</v>
      </c>
      <c r="U23" s="8"/>
      <c r="V23" s="68" t="s">
        <v>249</v>
      </c>
      <c r="W23" s="68" t="s">
        <v>250</v>
      </c>
      <c r="X23" s="10"/>
    </row>
    <row r="24" spans="1:24" ht="43" customHeight="1">
      <c r="A24" s="88">
        <v>22</v>
      </c>
      <c r="B24" s="56" t="s">
        <v>122</v>
      </c>
      <c r="C24" s="36" t="s">
        <v>156</v>
      </c>
      <c r="D24" s="36" t="s">
        <v>246</v>
      </c>
      <c r="E24" s="72" t="s">
        <v>251</v>
      </c>
      <c r="F24" s="53" t="s">
        <v>252</v>
      </c>
      <c r="G24" s="105">
        <v>46</v>
      </c>
      <c r="H24" s="105" t="s">
        <v>73</v>
      </c>
      <c r="I24" s="105"/>
      <c r="J24" s="105">
        <v>0</v>
      </c>
      <c r="K24" s="110">
        <f t="shared" si="0"/>
        <v>46</v>
      </c>
      <c r="L24" s="113">
        <v>1</v>
      </c>
      <c r="M24" s="110">
        <f t="shared" si="1"/>
        <v>46</v>
      </c>
      <c r="N24" s="36" t="s">
        <v>159</v>
      </c>
      <c r="O24" s="82" t="s">
        <v>160</v>
      </c>
      <c r="P24" s="36" t="s">
        <v>171</v>
      </c>
      <c r="Q24" s="75" t="s">
        <v>73</v>
      </c>
      <c r="R24" s="75" t="s">
        <v>162</v>
      </c>
      <c r="S24" s="75" t="s">
        <v>162</v>
      </c>
      <c r="T24" s="75" t="s">
        <v>73</v>
      </c>
      <c r="U24" s="36"/>
      <c r="V24" s="103" t="s">
        <v>253</v>
      </c>
      <c r="W24" s="103" t="s">
        <v>254</v>
      </c>
      <c r="X24" s="38"/>
    </row>
    <row r="25" spans="1:24" ht="43" customHeight="1">
      <c r="A25" s="87">
        <v>23</v>
      </c>
      <c r="B25" s="57" t="s">
        <v>119</v>
      </c>
      <c r="C25" s="8" t="s">
        <v>156</v>
      </c>
      <c r="D25" s="8" t="s">
        <v>255</v>
      </c>
      <c r="E25" s="73" t="s">
        <v>256</v>
      </c>
      <c r="F25" s="14" t="s">
        <v>252</v>
      </c>
      <c r="G25" s="106">
        <v>49</v>
      </c>
      <c r="H25" s="106" t="s">
        <v>162</v>
      </c>
      <c r="I25" s="106">
        <v>12</v>
      </c>
      <c r="J25" s="106">
        <v>0</v>
      </c>
      <c r="K25" s="110">
        <f t="shared" si="0"/>
        <v>61</v>
      </c>
      <c r="L25" s="114">
        <v>1</v>
      </c>
      <c r="M25" s="110">
        <f t="shared" si="1"/>
        <v>61</v>
      </c>
      <c r="N25" s="8" t="s">
        <v>159</v>
      </c>
      <c r="O25" s="4" t="s">
        <v>160</v>
      </c>
      <c r="P25" s="8" t="s">
        <v>161</v>
      </c>
      <c r="Q25" s="76" t="s">
        <v>73</v>
      </c>
      <c r="R25" s="76" t="s">
        <v>162</v>
      </c>
      <c r="S25" s="76" t="s">
        <v>162</v>
      </c>
      <c r="T25" s="76" t="s">
        <v>73</v>
      </c>
      <c r="U25" s="8"/>
      <c r="V25" s="68" t="s">
        <v>257</v>
      </c>
      <c r="W25" s="68" t="s">
        <v>258</v>
      </c>
      <c r="X25" s="10"/>
    </row>
    <row r="26" spans="1:24" ht="43" customHeight="1">
      <c r="A26" s="88">
        <v>24</v>
      </c>
      <c r="B26" s="56" t="s">
        <v>119</v>
      </c>
      <c r="C26" s="36" t="s">
        <v>156</v>
      </c>
      <c r="D26" s="36" t="s">
        <v>259</v>
      </c>
      <c r="E26" s="72" t="s">
        <v>260</v>
      </c>
      <c r="F26" s="53" t="s">
        <v>252</v>
      </c>
      <c r="G26" s="105">
        <v>52</v>
      </c>
      <c r="H26" s="105" t="s">
        <v>73</v>
      </c>
      <c r="I26" s="105"/>
      <c r="J26" s="105">
        <v>0</v>
      </c>
      <c r="K26" s="110">
        <f t="shared" si="0"/>
        <v>52</v>
      </c>
      <c r="L26" s="113">
        <v>1</v>
      </c>
      <c r="M26" s="110">
        <f t="shared" si="1"/>
        <v>52</v>
      </c>
      <c r="N26" s="36" t="s">
        <v>159</v>
      </c>
      <c r="O26" s="82" t="s">
        <v>160</v>
      </c>
      <c r="P26" s="36" t="s">
        <v>161</v>
      </c>
      <c r="Q26" s="75" t="s">
        <v>73</v>
      </c>
      <c r="R26" s="75" t="s">
        <v>162</v>
      </c>
      <c r="S26" s="75" t="s">
        <v>162</v>
      </c>
      <c r="T26" s="75" t="s">
        <v>73</v>
      </c>
      <c r="U26" s="36"/>
      <c r="V26" s="103" t="s">
        <v>261</v>
      </c>
      <c r="W26" s="103" t="s">
        <v>262</v>
      </c>
      <c r="X26" s="38"/>
    </row>
    <row r="27" spans="1:24" ht="43" customHeight="1">
      <c r="A27" s="87">
        <v>25</v>
      </c>
      <c r="B27" s="57" t="s">
        <v>119</v>
      </c>
      <c r="C27" s="8" t="s">
        <v>156</v>
      </c>
      <c r="D27" s="8" t="s">
        <v>263</v>
      </c>
      <c r="E27" s="73" t="s">
        <v>264</v>
      </c>
      <c r="F27" s="14" t="s">
        <v>252</v>
      </c>
      <c r="G27" s="106">
        <v>76</v>
      </c>
      <c r="H27" s="106" t="s">
        <v>73</v>
      </c>
      <c r="I27" s="106"/>
      <c r="J27" s="106">
        <v>0</v>
      </c>
      <c r="K27" s="110">
        <f t="shared" si="0"/>
        <v>76</v>
      </c>
      <c r="L27" s="114">
        <v>1</v>
      </c>
      <c r="M27" s="110">
        <f t="shared" si="1"/>
        <v>76</v>
      </c>
      <c r="N27" s="8" t="s">
        <v>159</v>
      </c>
      <c r="O27" s="4" t="s">
        <v>160</v>
      </c>
      <c r="P27" s="8" t="s">
        <v>161</v>
      </c>
      <c r="Q27" s="76" t="s">
        <v>73</v>
      </c>
      <c r="R27" s="76" t="s">
        <v>162</v>
      </c>
      <c r="S27" s="76" t="s">
        <v>162</v>
      </c>
      <c r="T27" s="76" t="s">
        <v>73</v>
      </c>
      <c r="U27" s="8"/>
      <c r="V27" s="68" t="s">
        <v>265</v>
      </c>
      <c r="W27" s="68" t="s">
        <v>266</v>
      </c>
      <c r="X27" s="10"/>
    </row>
    <row r="28" spans="1:24" ht="43" customHeight="1">
      <c r="A28" s="88">
        <v>26</v>
      </c>
      <c r="B28" s="56" t="s">
        <v>119</v>
      </c>
      <c r="C28" s="36" t="s">
        <v>156</v>
      </c>
      <c r="D28" s="36" t="s">
        <v>267</v>
      </c>
      <c r="E28" s="72" t="s">
        <v>268</v>
      </c>
      <c r="F28" s="53" t="s">
        <v>252</v>
      </c>
      <c r="G28" s="105">
        <v>55</v>
      </c>
      <c r="H28" s="105" t="s">
        <v>162</v>
      </c>
      <c r="I28" s="105">
        <v>6</v>
      </c>
      <c r="J28" s="105">
        <v>0</v>
      </c>
      <c r="K28" s="110">
        <f t="shared" si="0"/>
        <v>61</v>
      </c>
      <c r="L28" s="113">
        <v>1</v>
      </c>
      <c r="M28" s="110">
        <f t="shared" si="1"/>
        <v>61</v>
      </c>
      <c r="N28" s="36" t="s">
        <v>159</v>
      </c>
      <c r="O28" s="82" t="s">
        <v>160</v>
      </c>
      <c r="P28" s="36" t="s">
        <v>161</v>
      </c>
      <c r="Q28" s="75" t="s">
        <v>73</v>
      </c>
      <c r="R28" s="75" t="s">
        <v>162</v>
      </c>
      <c r="S28" s="75" t="s">
        <v>162</v>
      </c>
      <c r="T28" s="75" t="s">
        <v>73</v>
      </c>
      <c r="U28" s="36"/>
      <c r="V28" s="103" t="s">
        <v>269</v>
      </c>
      <c r="W28" s="103" t="s">
        <v>270</v>
      </c>
      <c r="X28" s="38"/>
    </row>
    <row r="29" spans="1:24" ht="43" customHeight="1">
      <c r="A29" s="87">
        <v>27</v>
      </c>
      <c r="B29" s="57" t="s">
        <v>119</v>
      </c>
      <c r="C29" s="8" t="s">
        <v>156</v>
      </c>
      <c r="D29" s="8" t="s">
        <v>271</v>
      </c>
      <c r="E29" s="73" t="s">
        <v>272</v>
      </c>
      <c r="F29" s="14" t="s">
        <v>252</v>
      </c>
      <c r="G29" s="106">
        <v>45</v>
      </c>
      <c r="H29" s="106" t="s">
        <v>73</v>
      </c>
      <c r="I29" s="106"/>
      <c r="J29" s="106">
        <v>0</v>
      </c>
      <c r="K29" s="110">
        <f t="shared" si="0"/>
        <v>45</v>
      </c>
      <c r="L29" s="114">
        <v>1</v>
      </c>
      <c r="M29" s="110">
        <f t="shared" si="1"/>
        <v>45</v>
      </c>
      <c r="N29" s="8" t="s">
        <v>159</v>
      </c>
      <c r="O29" s="4" t="s">
        <v>160</v>
      </c>
      <c r="P29" s="8" t="s">
        <v>214</v>
      </c>
      <c r="Q29" s="76" t="s">
        <v>73</v>
      </c>
      <c r="R29" s="76" t="s">
        <v>162</v>
      </c>
      <c r="S29" s="76" t="s">
        <v>162</v>
      </c>
      <c r="T29" s="76" t="s">
        <v>73</v>
      </c>
      <c r="U29" s="8"/>
      <c r="V29" s="68" t="s">
        <v>273</v>
      </c>
      <c r="W29" s="68" t="s">
        <v>274</v>
      </c>
      <c r="X29" s="10"/>
    </row>
    <row r="30" spans="1:24" ht="43" customHeight="1">
      <c r="A30" s="88">
        <v>28</v>
      </c>
      <c r="B30" s="56" t="s">
        <v>119</v>
      </c>
      <c r="C30" s="36" t="s">
        <v>156</v>
      </c>
      <c r="D30" s="36" t="s">
        <v>275</v>
      </c>
      <c r="E30" s="72" t="s">
        <v>276</v>
      </c>
      <c r="F30" s="53" t="s">
        <v>252</v>
      </c>
      <c r="G30" s="105">
        <v>60</v>
      </c>
      <c r="H30" s="105" t="s">
        <v>73</v>
      </c>
      <c r="I30" s="105"/>
      <c r="J30" s="105">
        <v>0</v>
      </c>
      <c r="K30" s="110">
        <f t="shared" si="0"/>
        <v>60</v>
      </c>
      <c r="L30" s="113">
        <v>1</v>
      </c>
      <c r="M30" s="110">
        <f t="shared" si="1"/>
        <v>60</v>
      </c>
      <c r="N30" s="36" t="s">
        <v>159</v>
      </c>
      <c r="O30" s="82" t="s">
        <v>160</v>
      </c>
      <c r="P30" s="36" t="s">
        <v>161</v>
      </c>
      <c r="Q30" s="75" t="s">
        <v>73</v>
      </c>
      <c r="R30" s="75" t="s">
        <v>162</v>
      </c>
      <c r="S30" s="75" t="s">
        <v>162</v>
      </c>
      <c r="T30" s="75" t="s">
        <v>73</v>
      </c>
      <c r="U30" s="36"/>
      <c r="V30" s="103" t="s">
        <v>277</v>
      </c>
      <c r="W30" s="103" t="s">
        <v>278</v>
      </c>
      <c r="X30" s="38"/>
    </row>
    <row r="31" spans="1:24" ht="43" customHeight="1">
      <c r="A31" s="87">
        <v>29</v>
      </c>
      <c r="B31" s="57" t="s">
        <v>119</v>
      </c>
      <c r="C31" s="8" t="s">
        <v>156</v>
      </c>
      <c r="D31" s="8" t="s">
        <v>279</v>
      </c>
      <c r="E31" s="73" t="s">
        <v>280</v>
      </c>
      <c r="F31" s="14" t="s">
        <v>252</v>
      </c>
      <c r="G31" s="106">
        <v>55</v>
      </c>
      <c r="H31" s="106" t="s">
        <v>162</v>
      </c>
      <c r="I31" s="106">
        <v>10</v>
      </c>
      <c r="J31" s="106">
        <v>0</v>
      </c>
      <c r="K31" s="110">
        <f t="shared" si="0"/>
        <v>65</v>
      </c>
      <c r="L31" s="114">
        <v>1</v>
      </c>
      <c r="M31" s="110">
        <f t="shared" si="1"/>
        <v>65</v>
      </c>
      <c r="N31" s="8" t="s">
        <v>159</v>
      </c>
      <c r="O31" s="4" t="s">
        <v>160</v>
      </c>
      <c r="P31" s="8" t="s">
        <v>214</v>
      </c>
      <c r="Q31" s="76" t="s">
        <v>73</v>
      </c>
      <c r="R31" s="76" t="s">
        <v>162</v>
      </c>
      <c r="S31" s="76" t="s">
        <v>162</v>
      </c>
      <c r="T31" s="76" t="s">
        <v>73</v>
      </c>
      <c r="U31" s="8"/>
      <c r="V31" s="68" t="s">
        <v>281</v>
      </c>
      <c r="W31" s="68" t="s">
        <v>282</v>
      </c>
      <c r="X31" s="10"/>
    </row>
    <row r="32" spans="1:24" ht="43" customHeight="1">
      <c r="A32" s="88">
        <v>30</v>
      </c>
      <c r="B32" s="56" t="s">
        <v>119</v>
      </c>
      <c r="C32" s="36" t="s">
        <v>156</v>
      </c>
      <c r="D32" s="36" t="s">
        <v>283</v>
      </c>
      <c r="E32" s="72" t="s">
        <v>284</v>
      </c>
      <c r="F32" s="53" t="s">
        <v>252</v>
      </c>
      <c r="G32" s="105">
        <v>150</v>
      </c>
      <c r="H32" s="105" t="s">
        <v>162</v>
      </c>
      <c r="I32" s="105">
        <v>5</v>
      </c>
      <c r="J32" s="105">
        <v>0</v>
      </c>
      <c r="K32" s="110">
        <f t="shared" si="0"/>
        <v>155</v>
      </c>
      <c r="L32" s="113">
        <v>4</v>
      </c>
      <c r="M32" s="110">
        <f t="shared" si="1"/>
        <v>38.75</v>
      </c>
      <c r="N32" s="36" t="s">
        <v>159</v>
      </c>
      <c r="O32" s="82" t="s">
        <v>160</v>
      </c>
      <c r="P32" s="36" t="s">
        <v>214</v>
      </c>
      <c r="Q32" s="75" t="s">
        <v>162</v>
      </c>
      <c r="R32" s="75" t="s">
        <v>73</v>
      </c>
      <c r="S32" s="75" t="s">
        <v>162</v>
      </c>
      <c r="T32" s="75" t="s">
        <v>73</v>
      </c>
      <c r="U32" s="36"/>
      <c r="V32" s="103" t="s">
        <v>285</v>
      </c>
      <c r="W32" s="103" t="s">
        <v>286</v>
      </c>
      <c r="X32" s="38"/>
    </row>
    <row r="33" spans="1:24" ht="43" customHeight="1">
      <c r="A33" s="87">
        <v>31</v>
      </c>
      <c r="B33" s="57" t="s">
        <v>125</v>
      </c>
      <c r="C33" s="8" t="s">
        <v>156</v>
      </c>
      <c r="D33" s="8" t="s">
        <v>287</v>
      </c>
      <c r="E33" s="73" t="s">
        <v>288</v>
      </c>
      <c r="F33" s="14" t="s">
        <v>289</v>
      </c>
      <c r="G33" s="106">
        <v>40</v>
      </c>
      <c r="H33" s="106" t="s">
        <v>162</v>
      </c>
      <c r="I33" s="106">
        <v>12</v>
      </c>
      <c r="J33" s="106"/>
      <c r="K33" s="110">
        <f t="shared" si="0"/>
        <v>52</v>
      </c>
      <c r="L33" s="114">
        <v>1</v>
      </c>
      <c r="M33" s="110">
        <f t="shared" si="1"/>
        <v>52</v>
      </c>
      <c r="N33" s="8" t="s">
        <v>159</v>
      </c>
      <c r="O33" s="4" t="s">
        <v>160</v>
      </c>
      <c r="P33" s="8" t="s">
        <v>290</v>
      </c>
      <c r="Q33" s="76" t="s">
        <v>162</v>
      </c>
      <c r="R33" s="76" t="s">
        <v>73</v>
      </c>
      <c r="S33" s="76" t="s">
        <v>162</v>
      </c>
      <c r="T33" s="76" t="s">
        <v>73</v>
      </c>
      <c r="U33" s="8"/>
      <c r="V33" s="68" t="s">
        <v>291</v>
      </c>
      <c r="W33" s="68" t="s">
        <v>292</v>
      </c>
      <c r="X33" s="10"/>
    </row>
    <row r="34" spans="1:24" ht="43" customHeight="1">
      <c r="A34" s="88">
        <v>32</v>
      </c>
      <c r="B34" s="56" t="s">
        <v>119</v>
      </c>
      <c r="C34" s="36" t="s">
        <v>156</v>
      </c>
      <c r="D34" s="36" t="s">
        <v>287</v>
      </c>
      <c r="E34" s="72" t="s">
        <v>293</v>
      </c>
      <c r="F34" s="53" t="s">
        <v>248</v>
      </c>
      <c r="G34" s="105">
        <v>60</v>
      </c>
      <c r="H34" s="105" t="s">
        <v>162</v>
      </c>
      <c r="I34" s="105">
        <v>12</v>
      </c>
      <c r="J34" s="105"/>
      <c r="K34" s="110">
        <f t="shared" si="0"/>
        <v>72</v>
      </c>
      <c r="L34" s="113">
        <v>1</v>
      </c>
      <c r="M34" s="110">
        <f t="shared" si="1"/>
        <v>72</v>
      </c>
      <c r="N34" s="36" t="s">
        <v>159</v>
      </c>
      <c r="O34" s="82" t="s">
        <v>160</v>
      </c>
      <c r="P34" s="36" t="s">
        <v>290</v>
      </c>
      <c r="Q34" s="75" t="s">
        <v>162</v>
      </c>
      <c r="R34" s="75" t="s">
        <v>73</v>
      </c>
      <c r="S34" s="75" t="s">
        <v>162</v>
      </c>
      <c r="T34" s="75" t="s">
        <v>73</v>
      </c>
      <c r="U34" s="36"/>
      <c r="V34" s="103" t="s">
        <v>294</v>
      </c>
      <c r="W34" s="103" t="s">
        <v>295</v>
      </c>
      <c r="X34" s="38"/>
    </row>
    <row r="35" spans="1:24" ht="43" customHeight="1">
      <c r="A35" s="87">
        <v>33</v>
      </c>
      <c r="B35" s="57" t="s">
        <v>131</v>
      </c>
      <c r="C35" s="8" t="s">
        <v>156</v>
      </c>
      <c r="D35" s="8" t="s">
        <v>287</v>
      </c>
      <c r="E35" s="73" t="s">
        <v>296</v>
      </c>
      <c r="F35" s="14" t="s">
        <v>252</v>
      </c>
      <c r="G35" s="106">
        <v>30</v>
      </c>
      <c r="H35" s="106" t="s">
        <v>162</v>
      </c>
      <c r="I35" s="106">
        <v>12</v>
      </c>
      <c r="J35" s="106">
        <v>0</v>
      </c>
      <c r="K35" s="110">
        <f t="shared" ref="K35:K61" si="2">IF(OR(G35="",G35=0),"",G35+IF(I35="",0,I35)+IF(J35="",0,J35))</f>
        <v>42</v>
      </c>
      <c r="L35" s="114">
        <v>1</v>
      </c>
      <c r="M35" s="110">
        <f t="shared" ref="M35:M61" si="3">IF(OR(K35="",L35=0),"",K35/L35)</f>
        <v>42</v>
      </c>
      <c r="N35" s="8" t="s">
        <v>159</v>
      </c>
      <c r="O35" s="4" t="s">
        <v>160</v>
      </c>
      <c r="P35" s="8" t="s">
        <v>290</v>
      </c>
      <c r="Q35" s="76" t="s">
        <v>162</v>
      </c>
      <c r="R35" s="76" t="s">
        <v>73</v>
      </c>
      <c r="S35" s="76" t="s">
        <v>162</v>
      </c>
      <c r="T35" s="76" t="s">
        <v>162</v>
      </c>
      <c r="U35" s="8" t="s">
        <v>227</v>
      </c>
      <c r="V35" s="68" t="s">
        <v>297</v>
      </c>
      <c r="W35" s="68" t="s">
        <v>298</v>
      </c>
      <c r="X35" s="10"/>
    </row>
    <row r="36" spans="1:24" ht="43" customHeight="1">
      <c r="A36" s="88">
        <v>34</v>
      </c>
      <c r="B36" s="56" t="s">
        <v>127</v>
      </c>
      <c r="C36" s="36" t="s">
        <v>156</v>
      </c>
      <c r="D36" s="36" t="s">
        <v>299</v>
      </c>
      <c r="E36" s="72" t="s">
        <v>300</v>
      </c>
      <c r="F36" s="53" t="s">
        <v>252</v>
      </c>
      <c r="G36" s="105">
        <v>35</v>
      </c>
      <c r="H36" s="105" t="s">
        <v>73</v>
      </c>
      <c r="I36" s="105"/>
      <c r="J36" s="105">
        <v>0</v>
      </c>
      <c r="K36" s="110">
        <f t="shared" si="2"/>
        <v>35</v>
      </c>
      <c r="L36" s="113">
        <v>1</v>
      </c>
      <c r="M36" s="110">
        <f t="shared" si="3"/>
        <v>35</v>
      </c>
      <c r="N36" s="36" t="s">
        <v>159</v>
      </c>
      <c r="O36" s="82" t="s">
        <v>160</v>
      </c>
      <c r="P36" s="36" t="s">
        <v>290</v>
      </c>
      <c r="Q36" s="75" t="s">
        <v>73</v>
      </c>
      <c r="R36" s="75" t="s">
        <v>162</v>
      </c>
      <c r="S36" s="75" t="s">
        <v>162</v>
      </c>
      <c r="T36" s="75" t="s">
        <v>73</v>
      </c>
      <c r="U36" s="36"/>
      <c r="V36" s="103" t="s">
        <v>301</v>
      </c>
      <c r="W36" s="103" t="s">
        <v>302</v>
      </c>
      <c r="X36" s="38"/>
    </row>
    <row r="37" spans="1:24" ht="43" customHeight="1">
      <c r="A37" s="87">
        <v>35</v>
      </c>
      <c r="B37" s="57" t="s">
        <v>127</v>
      </c>
      <c r="C37" s="8" t="s">
        <v>156</v>
      </c>
      <c r="D37" s="8" t="s">
        <v>303</v>
      </c>
      <c r="E37" s="73" t="s">
        <v>304</v>
      </c>
      <c r="F37" s="14" t="s">
        <v>252</v>
      </c>
      <c r="G37" s="106"/>
      <c r="H37" s="106"/>
      <c r="I37" s="106"/>
      <c r="J37" s="106">
        <v>0</v>
      </c>
      <c r="K37" s="110" t="str">
        <f t="shared" si="2"/>
        <v/>
      </c>
      <c r="L37" s="114">
        <v>1</v>
      </c>
      <c r="M37" s="110" t="str">
        <f t="shared" si="3"/>
        <v/>
      </c>
      <c r="N37" s="8" t="s">
        <v>159</v>
      </c>
      <c r="O37" s="4" t="s">
        <v>160</v>
      </c>
      <c r="P37" s="8" t="s">
        <v>214</v>
      </c>
      <c r="Q37" s="76" t="s">
        <v>73</v>
      </c>
      <c r="R37" s="76" t="s">
        <v>162</v>
      </c>
      <c r="S37" s="76" t="s">
        <v>162</v>
      </c>
      <c r="T37" s="76" t="s">
        <v>73</v>
      </c>
      <c r="U37" s="8"/>
      <c r="V37" s="68" t="s">
        <v>305</v>
      </c>
      <c r="W37" s="68" t="s">
        <v>306</v>
      </c>
      <c r="X37" s="10"/>
    </row>
    <row r="38" spans="1:24" ht="43" customHeight="1">
      <c r="A38" s="88">
        <v>36</v>
      </c>
      <c r="B38" s="56" t="s">
        <v>127</v>
      </c>
      <c r="C38" s="36" t="s">
        <v>156</v>
      </c>
      <c r="D38" s="36" t="s">
        <v>307</v>
      </c>
      <c r="E38" s="72" t="s">
        <v>308</v>
      </c>
      <c r="F38" s="53" t="s">
        <v>252</v>
      </c>
      <c r="G38" s="105">
        <v>50</v>
      </c>
      <c r="H38" s="105" t="s">
        <v>162</v>
      </c>
      <c r="I38" s="105">
        <v>10</v>
      </c>
      <c r="J38" s="105">
        <v>0</v>
      </c>
      <c r="K38" s="110">
        <f t="shared" si="2"/>
        <v>60</v>
      </c>
      <c r="L38" s="113">
        <v>1</v>
      </c>
      <c r="M38" s="110">
        <f t="shared" si="3"/>
        <v>60</v>
      </c>
      <c r="N38" s="36" t="s">
        <v>159</v>
      </c>
      <c r="O38" s="82" t="s">
        <v>160</v>
      </c>
      <c r="P38" s="36" t="s">
        <v>161</v>
      </c>
      <c r="Q38" s="75" t="s">
        <v>73</v>
      </c>
      <c r="R38" s="75" t="s">
        <v>162</v>
      </c>
      <c r="S38" s="75" t="s">
        <v>162</v>
      </c>
      <c r="T38" s="75" t="s">
        <v>73</v>
      </c>
      <c r="U38" s="36"/>
      <c r="V38" s="103" t="s">
        <v>309</v>
      </c>
      <c r="W38" s="103" t="s">
        <v>310</v>
      </c>
      <c r="X38" s="38"/>
    </row>
    <row r="39" spans="1:24" ht="43" customHeight="1">
      <c r="A39" s="87">
        <v>37</v>
      </c>
      <c r="B39" s="57" t="s">
        <v>125</v>
      </c>
      <c r="C39" s="8" t="s">
        <v>156</v>
      </c>
      <c r="D39" s="8" t="s">
        <v>311</v>
      </c>
      <c r="E39" s="73" t="s">
        <v>312</v>
      </c>
      <c r="F39" s="14" t="s">
        <v>252</v>
      </c>
      <c r="G39" s="106">
        <v>35</v>
      </c>
      <c r="H39" s="106" t="s">
        <v>73</v>
      </c>
      <c r="I39" s="106"/>
      <c r="J39" s="106">
        <v>0</v>
      </c>
      <c r="K39" s="110">
        <f t="shared" si="2"/>
        <v>35</v>
      </c>
      <c r="L39" s="114">
        <v>1</v>
      </c>
      <c r="M39" s="110">
        <f t="shared" si="3"/>
        <v>35</v>
      </c>
      <c r="N39" s="8" t="s">
        <v>159</v>
      </c>
      <c r="O39" s="4" t="s">
        <v>160</v>
      </c>
      <c r="P39" s="8" t="s">
        <v>161</v>
      </c>
      <c r="Q39" s="76" t="s">
        <v>73</v>
      </c>
      <c r="R39" s="76" t="s">
        <v>162</v>
      </c>
      <c r="S39" s="76" t="s">
        <v>162</v>
      </c>
      <c r="T39" s="76" t="s">
        <v>73</v>
      </c>
      <c r="U39" s="8"/>
      <c r="V39" s="68" t="s">
        <v>313</v>
      </c>
      <c r="W39" s="68" t="s">
        <v>314</v>
      </c>
      <c r="X39" s="10"/>
    </row>
    <row r="40" spans="1:24" ht="43" customHeight="1">
      <c r="A40" s="88">
        <v>38</v>
      </c>
      <c r="B40" s="56" t="s">
        <v>125</v>
      </c>
      <c r="C40" s="36" t="s">
        <v>156</v>
      </c>
      <c r="D40" s="36" t="s">
        <v>315</v>
      </c>
      <c r="E40" s="72" t="s">
        <v>316</v>
      </c>
      <c r="F40" s="53" t="s">
        <v>252</v>
      </c>
      <c r="G40" s="105">
        <v>35.119999999999997</v>
      </c>
      <c r="H40" s="105" t="s">
        <v>162</v>
      </c>
      <c r="I40" s="105">
        <v>10</v>
      </c>
      <c r="J40" s="105">
        <v>0</v>
      </c>
      <c r="K40" s="110">
        <f t="shared" si="2"/>
        <v>45.12</v>
      </c>
      <c r="L40" s="113">
        <v>1</v>
      </c>
      <c r="M40" s="110">
        <f t="shared" si="3"/>
        <v>45.12</v>
      </c>
      <c r="N40" s="36" t="s">
        <v>159</v>
      </c>
      <c r="O40" s="82" t="s">
        <v>160</v>
      </c>
      <c r="P40" s="36" t="s">
        <v>161</v>
      </c>
      <c r="Q40" s="75" t="s">
        <v>73</v>
      </c>
      <c r="R40" s="75" t="s">
        <v>162</v>
      </c>
      <c r="S40" s="75" t="s">
        <v>162</v>
      </c>
      <c r="T40" s="75" t="s">
        <v>73</v>
      </c>
      <c r="U40" s="36"/>
      <c r="V40" s="103" t="s">
        <v>317</v>
      </c>
      <c r="W40" s="103" t="s">
        <v>318</v>
      </c>
      <c r="X40" s="38"/>
    </row>
    <row r="41" spans="1:24" ht="43" customHeight="1">
      <c r="A41" s="87">
        <v>39</v>
      </c>
      <c r="B41" s="57" t="s">
        <v>125</v>
      </c>
      <c r="C41" s="8" t="s">
        <v>156</v>
      </c>
      <c r="D41" s="8" t="s">
        <v>319</v>
      </c>
      <c r="E41" s="73" t="s">
        <v>320</v>
      </c>
      <c r="F41" s="14" t="s">
        <v>252</v>
      </c>
      <c r="G41" s="106">
        <v>37.6</v>
      </c>
      <c r="H41" s="106" t="s">
        <v>73</v>
      </c>
      <c r="I41" s="106"/>
      <c r="J41" s="106">
        <v>0</v>
      </c>
      <c r="K41" s="110">
        <f t="shared" si="2"/>
        <v>37.6</v>
      </c>
      <c r="L41" s="114">
        <v>1</v>
      </c>
      <c r="M41" s="110">
        <f t="shared" si="3"/>
        <v>37.6</v>
      </c>
      <c r="N41" s="8" t="s">
        <v>159</v>
      </c>
      <c r="O41" s="4" t="s">
        <v>160</v>
      </c>
      <c r="P41" s="8" t="s">
        <v>161</v>
      </c>
      <c r="Q41" s="76" t="s">
        <v>73</v>
      </c>
      <c r="R41" s="76" t="s">
        <v>162</v>
      </c>
      <c r="S41" s="76" t="s">
        <v>162</v>
      </c>
      <c r="T41" s="76" t="s">
        <v>73</v>
      </c>
      <c r="U41" s="8"/>
      <c r="V41" s="68" t="s">
        <v>321</v>
      </c>
      <c r="W41" s="68" t="s">
        <v>322</v>
      </c>
      <c r="X41" s="10"/>
    </row>
    <row r="42" spans="1:24" ht="43" customHeight="1">
      <c r="A42" s="88">
        <v>40</v>
      </c>
      <c r="B42" s="56" t="s">
        <v>125</v>
      </c>
      <c r="C42" s="36" t="s">
        <v>156</v>
      </c>
      <c r="D42" s="36" t="s">
        <v>323</v>
      </c>
      <c r="E42" s="72" t="s">
        <v>324</v>
      </c>
      <c r="F42" s="53" t="s">
        <v>252</v>
      </c>
      <c r="G42" s="105">
        <v>31</v>
      </c>
      <c r="H42" s="105" t="s">
        <v>162</v>
      </c>
      <c r="I42" s="105">
        <v>6.9</v>
      </c>
      <c r="J42" s="105">
        <v>0</v>
      </c>
      <c r="K42" s="110">
        <f t="shared" si="2"/>
        <v>37.9</v>
      </c>
      <c r="L42" s="113">
        <v>1</v>
      </c>
      <c r="M42" s="110">
        <f t="shared" si="3"/>
        <v>37.9</v>
      </c>
      <c r="N42" s="36" t="s">
        <v>159</v>
      </c>
      <c r="O42" s="82" t="s">
        <v>160</v>
      </c>
      <c r="P42" s="36" t="s">
        <v>177</v>
      </c>
      <c r="Q42" s="75" t="s">
        <v>73</v>
      </c>
      <c r="R42" s="75" t="s">
        <v>162</v>
      </c>
      <c r="S42" s="75" t="s">
        <v>162</v>
      </c>
      <c r="T42" s="75" t="s">
        <v>73</v>
      </c>
      <c r="U42" s="36"/>
      <c r="V42" s="103" t="s">
        <v>325</v>
      </c>
      <c r="W42" s="103" t="s">
        <v>326</v>
      </c>
      <c r="X42" s="38"/>
    </row>
    <row r="43" spans="1:24" ht="43" customHeight="1">
      <c r="A43" s="87">
        <v>41</v>
      </c>
      <c r="B43" s="57" t="s">
        <v>125</v>
      </c>
      <c r="C43" s="8" t="s">
        <v>156</v>
      </c>
      <c r="D43" s="8" t="s">
        <v>327</v>
      </c>
      <c r="E43" s="73" t="s">
        <v>328</v>
      </c>
      <c r="F43" s="14" t="s">
        <v>252</v>
      </c>
      <c r="G43" s="106">
        <v>35</v>
      </c>
      <c r="H43" s="106"/>
      <c r="I43" s="106">
        <v>6</v>
      </c>
      <c r="J43" s="106">
        <v>0</v>
      </c>
      <c r="K43" s="110">
        <f t="shared" si="2"/>
        <v>41</v>
      </c>
      <c r="L43" s="114">
        <v>1</v>
      </c>
      <c r="M43" s="110">
        <f t="shared" si="3"/>
        <v>41</v>
      </c>
      <c r="N43" s="8" t="s">
        <v>159</v>
      </c>
      <c r="O43" s="4" t="s">
        <v>160</v>
      </c>
      <c r="P43" s="8" t="s">
        <v>161</v>
      </c>
      <c r="Q43" s="76" t="s">
        <v>73</v>
      </c>
      <c r="R43" s="76" t="s">
        <v>162</v>
      </c>
      <c r="S43" s="76" t="s">
        <v>162</v>
      </c>
      <c r="T43" s="76" t="s">
        <v>73</v>
      </c>
      <c r="U43" s="8"/>
      <c r="V43" s="68" t="s">
        <v>329</v>
      </c>
      <c r="W43" s="68" t="s">
        <v>330</v>
      </c>
      <c r="X43" s="10"/>
    </row>
    <row r="44" spans="1:24" ht="43" customHeight="1">
      <c r="A44" s="88">
        <v>42</v>
      </c>
      <c r="B44" s="56" t="s">
        <v>125</v>
      </c>
      <c r="C44" s="36" t="s">
        <v>156</v>
      </c>
      <c r="D44" s="36" t="s">
        <v>331</v>
      </c>
      <c r="E44" s="72" t="s">
        <v>332</v>
      </c>
      <c r="F44" s="53" t="s">
        <v>252</v>
      </c>
      <c r="G44" s="105">
        <v>30.18</v>
      </c>
      <c r="H44" s="105" t="s">
        <v>162</v>
      </c>
      <c r="I44" s="105">
        <v>12</v>
      </c>
      <c r="J44" s="105">
        <v>0</v>
      </c>
      <c r="K44" s="110">
        <f t="shared" si="2"/>
        <v>42.18</v>
      </c>
      <c r="L44" s="113">
        <v>1</v>
      </c>
      <c r="M44" s="110">
        <f t="shared" si="3"/>
        <v>42.18</v>
      </c>
      <c r="N44" s="36" t="s">
        <v>159</v>
      </c>
      <c r="O44" s="82" t="s">
        <v>160</v>
      </c>
      <c r="P44" s="36" t="s">
        <v>161</v>
      </c>
      <c r="Q44" s="75" t="s">
        <v>73</v>
      </c>
      <c r="R44" s="75" t="s">
        <v>162</v>
      </c>
      <c r="S44" s="75" t="s">
        <v>162</v>
      </c>
      <c r="T44" s="75" t="s">
        <v>73</v>
      </c>
      <c r="U44" s="36"/>
      <c r="V44" s="103" t="s">
        <v>333</v>
      </c>
      <c r="W44" s="103" t="s">
        <v>334</v>
      </c>
      <c r="X44" s="38"/>
    </row>
    <row r="45" spans="1:24" ht="43" customHeight="1">
      <c r="A45" s="87">
        <v>43</v>
      </c>
      <c r="B45" s="57" t="s">
        <v>122</v>
      </c>
      <c r="C45" s="8" t="s">
        <v>156</v>
      </c>
      <c r="D45" s="8" t="s">
        <v>335</v>
      </c>
      <c r="E45" s="73" t="s">
        <v>336</v>
      </c>
      <c r="F45" s="14" t="s">
        <v>248</v>
      </c>
      <c r="G45" s="106">
        <v>45</v>
      </c>
      <c r="H45" s="106" t="s">
        <v>162</v>
      </c>
      <c r="I45" s="106">
        <v>7</v>
      </c>
      <c r="J45" s="106"/>
      <c r="K45" s="110">
        <f t="shared" si="2"/>
        <v>52</v>
      </c>
      <c r="L45" s="114">
        <v>1</v>
      </c>
      <c r="M45" s="110">
        <f t="shared" si="3"/>
        <v>52</v>
      </c>
      <c r="N45" s="8" t="s">
        <v>159</v>
      </c>
      <c r="O45" s="4" t="s">
        <v>160</v>
      </c>
      <c r="P45" s="8" t="s">
        <v>161</v>
      </c>
      <c r="Q45" s="76" t="s">
        <v>73</v>
      </c>
      <c r="R45" s="76" t="s">
        <v>162</v>
      </c>
      <c r="S45" s="76" t="s">
        <v>162</v>
      </c>
      <c r="T45" s="76" t="s">
        <v>73</v>
      </c>
      <c r="U45" s="8"/>
      <c r="V45" s="68" t="s">
        <v>337</v>
      </c>
      <c r="W45" s="68" t="s">
        <v>338</v>
      </c>
      <c r="X45" s="10"/>
    </row>
    <row r="46" spans="1:24" ht="43" customHeight="1">
      <c r="A46" s="88">
        <v>44</v>
      </c>
      <c r="B46" s="56" t="s">
        <v>127</v>
      </c>
      <c r="C46" s="36" t="s">
        <v>156</v>
      </c>
      <c r="D46" s="36" t="s">
        <v>335</v>
      </c>
      <c r="E46" s="72" t="s">
        <v>339</v>
      </c>
      <c r="F46" s="53" t="s">
        <v>252</v>
      </c>
      <c r="G46" s="105">
        <v>25</v>
      </c>
      <c r="H46" s="105" t="s">
        <v>162</v>
      </c>
      <c r="I46" s="105">
        <v>7</v>
      </c>
      <c r="J46" s="105">
        <v>0</v>
      </c>
      <c r="K46" s="110">
        <f t="shared" si="2"/>
        <v>32</v>
      </c>
      <c r="L46" s="113">
        <v>1</v>
      </c>
      <c r="M46" s="110">
        <f t="shared" si="3"/>
        <v>32</v>
      </c>
      <c r="N46" s="36" t="s">
        <v>159</v>
      </c>
      <c r="O46" s="82" t="s">
        <v>160</v>
      </c>
      <c r="P46" s="36" t="s">
        <v>161</v>
      </c>
      <c r="Q46" s="75" t="s">
        <v>73</v>
      </c>
      <c r="R46" s="75" t="s">
        <v>162</v>
      </c>
      <c r="S46" s="75" t="s">
        <v>162</v>
      </c>
      <c r="T46" s="75" t="s">
        <v>73</v>
      </c>
      <c r="U46" s="36"/>
      <c r="V46" s="103" t="s">
        <v>340</v>
      </c>
      <c r="W46" s="103" t="s">
        <v>341</v>
      </c>
      <c r="X46" s="38"/>
    </row>
    <row r="47" spans="1:24" ht="43" customHeight="1">
      <c r="A47" s="87">
        <v>45</v>
      </c>
      <c r="B47" s="57" t="s">
        <v>129</v>
      </c>
      <c r="C47" s="8" t="s">
        <v>156</v>
      </c>
      <c r="D47" s="8" t="s">
        <v>342</v>
      </c>
      <c r="E47" s="73" t="s">
        <v>343</v>
      </c>
      <c r="F47" s="14" t="s">
        <v>252</v>
      </c>
      <c r="G47" s="106">
        <v>14.08</v>
      </c>
      <c r="H47" s="106" t="s">
        <v>73</v>
      </c>
      <c r="I47" s="106">
        <v>0</v>
      </c>
      <c r="J47" s="106">
        <v>0</v>
      </c>
      <c r="K47" s="110">
        <f t="shared" si="2"/>
        <v>14.08</v>
      </c>
      <c r="L47" s="114">
        <v>1</v>
      </c>
      <c r="M47" s="110">
        <f t="shared" si="3"/>
        <v>14.08</v>
      </c>
      <c r="N47" s="8" t="s">
        <v>159</v>
      </c>
      <c r="O47" s="4" t="s">
        <v>160</v>
      </c>
      <c r="P47" s="8" t="s">
        <v>161</v>
      </c>
      <c r="Q47" s="76" t="s">
        <v>73</v>
      </c>
      <c r="R47" s="76" t="s">
        <v>162</v>
      </c>
      <c r="S47" s="76" t="s">
        <v>162</v>
      </c>
      <c r="T47" s="76" t="s">
        <v>73</v>
      </c>
      <c r="U47" s="8"/>
      <c r="V47" s="68" t="s">
        <v>344</v>
      </c>
      <c r="W47" s="68" t="s">
        <v>345</v>
      </c>
      <c r="X47" s="10"/>
    </row>
    <row r="48" spans="1:24" ht="43" customHeight="1">
      <c r="A48" s="88">
        <v>46</v>
      </c>
      <c r="B48" s="56" t="s">
        <v>129</v>
      </c>
      <c r="C48" s="36" t="s">
        <v>156</v>
      </c>
      <c r="D48" s="36" t="s">
        <v>346</v>
      </c>
      <c r="E48" s="72" t="s">
        <v>347</v>
      </c>
      <c r="F48" s="53" t="s">
        <v>252</v>
      </c>
      <c r="G48" s="105">
        <v>9.6</v>
      </c>
      <c r="H48" s="105" t="s">
        <v>162</v>
      </c>
      <c r="I48" s="105">
        <v>8</v>
      </c>
      <c r="J48" s="105">
        <v>0</v>
      </c>
      <c r="K48" s="110">
        <f t="shared" si="2"/>
        <v>17.600000000000001</v>
      </c>
      <c r="L48" s="113">
        <v>1</v>
      </c>
      <c r="M48" s="110">
        <f t="shared" si="3"/>
        <v>17.600000000000001</v>
      </c>
      <c r="N48" s="36" t="s">
        <v>159</v>
      </c>
      <c r="O48" s="82" t="s">
        <v>160</v>
      </c>
      <c r="P48" s="36" t="s">
        <v>161</v>
      </c>
      <c r="Q48" s="75" t="s">
        <v>73</v>
      </c>
      <c r="R48" s="75" t="s">
        <v>162</v>
      </c>
      <c r="S48" s="75" t="s">
        <v>162</v>
      </c>
      <c r="T48" s="75" t="s">
        <v>73</v>
      </c>
      <c r="U48" s="36"/>
      <c r="V48" s="103" t="s">
        <v>348</v>
      </c>
      <c r="W48" s="103" t="s">
        <v>349</v>
      </c>
      <c r="X48" s="38"/>
    </row>
    <row r="49" spans="1:24" ht="43" customHeight="1">
      <c r="A49" s="87">
        <v>47</v>
      </c>
      <c r="B49" s="57" t="s">
        <v>129</v>
      </c>
      <c r="C49" s="8" t="s">
        <v>156</v>
      </c>
      <c r="D49" s="8" t="s">
        <v>350</v>
      </c>
      <c r="E49" s="73" t="s">
        <v>351</v>
      </c>
      <c r="F49" s="14" t="s">
        <v>252</v>
      </c>
      <c r="G49" s="106">
        <v>20.329999999999998</v>
      </c>
      <c r="H49" s="106" t="s">
        <v>73</v>
      </c>
      <c r="I49" s="106"/>
      <c r="J49" s="106">
        <v>0</v>
      </c>
      <c r="K49" s="110">
        <f t="shared" si="2"/>
        <v>20.329999999999998</v>
      </c>
      <c r="L49" s="114">
        <v>1</v>
      </c>
      <c r="M49" s="110">
        <f t="shared" si="3"/>
        <v>20.329999999999998</v>
      </c>
      <c r="N49" s="8" t="s">
        <v>159</v>
      </c>
      <c r="O49" s="4" t="s">
        <v>160</v>
      </c>
      <c r="P49" s="8" t="s">
        <v>161</v>
      </c>
      <c r="Q49" s="76" t="s">
        <v>73</v>
      </c>
      <c r="R49" s="76" t="s">
        <v>162</v>
      </c>
      <c r="S49" s="76" t="s">
        <v>162</v>
      </c>
      <c r="T49" s="76" t="s">
        <v>73</v>
      </c>
      <c r="U49" s="8"/>
      <c r="V49" s="68" t="s">
        <v>352</v>
      </c>
      <c r="W49" s="68" t="s">
        <v>353</v>
      </c>
      <c r="X49" s="10"/>
    </row>
    <row r="50" spans="1:24" ht="43" customHeight="1">
      <c r="A50" s="88">
        <v>48</v>
      </c>
      <c r="B50" s="56" t="s">
        <v>129</v>
      </c>
      <c r="C50" s="36" t="s">
        <v>156</v>
      </c>
      <c r="D50" s="36" t="s">
        <v>354</v>
      </c>
      <c r="E50" s="72" t="s">
        <v>355</v>
      </c>
      <c r="F50" s="53" t="s">
        <v>252</v>
      </c>
      <c r="G50" s="105">
        <v>20</v>
      </c>
      <c r="H50" s="105" t="s">
        <v>73</v>
      </c>
      <c r="I50" s="105"/>
      <c r="J50" s="105">
        <v>0</v>
      </c>
      <c r="K50" s="110">
        <f t="shared" si="2"/>
        <v>20</v>
      </c>
      <c r="L50" s="113">
        <v>1</v>
      </c>
      <c r="M50" s="110">
        <f t="shared" si="3"/>
        <v>20</v>
      </c>
      <c r="N50" s="36" t="s">
        <v>159</v>
      </c>
      <c r="O50" s="82" t="s">
        <v>160</v>
      </c>
      <c r="P50" s="36" t="s">
        <v>161</v>
      </c>
      <c r="Q50" s="75" t="s">
        <v>73</v>
      </c>
      <c r="R50" s="75" t="s">
        <v>162</v>
      </c>
      <c r="S50" s="75" t="s">
        <v>162</v>
      </c>
      <c r="T50" s="75" t="s">
        <v>73</v>
      </c>
      <c r="U50" s="36"/>
      <c r="V50" s="103" t="s">
        <v>356</v>
      </c>
      <c r="W50" s="103" t="s">
        <v>357</v>
      </c>
      <c r="X50" s="38"/>
    </row>
    <row r="51" spans="1:24" ht="43" customHeight="1">
      <c r="A51" s="87">
        <v>49</v>
      </c>
      <c r="B51" s="57" t="s">
        <v>129</v>
      </c>
      <c r="C51" s="8" t="s">
        <v>156</v>
      </c>
      <c r="D51" s="8" t="s">
        <v>358</v>
      </c>
      <c r="E51" s="73" t="s">
        <v>359</v>
      </c>
      <c r="F51" s="14" t="s">
        <v>252</v>
      </c>
      <c r="G51" s="106">
        <v>24.88</v>
      </c>
      <c r="H51" s="106" t="s">
        <v>73</v>
      </c>
      <c r="I51" s="106"/>
      <c r="J51" s="106">
        <v>0</v>
      </c>
      <c r="K51" s="110">
        <f t="shared" si="2"/>
        <v>24.88</v>
      </c>
      <c r="L51" s="114">
        <v>1</v>
      </c>
      <c r="M51" s="110">
        <f t="shared" si="3"/>
        <v>24.88</v>
      </c>
      <c r="N51" s="8" t="s">
        <v>159</v>
      </c>
      <c r="O51" s="4" t="s">
        <v>160</v>
      </c>
      <c r="P51" s="8" t="s">
        <v>290</v>
      </c>
      <c r="Q51" s="76" t="s">
        <v>73</v>
      </c>
      <c r="R51" s="76" t="s">
        <v>162</v>
      </c>
      <c r="S51" s="76" t="s">
        <v>162</v>
      </c>
      <c r="T51" s="76" t="s">
        <v>73</v>
      </c>
      <c r="U51" s="8"/>
      <c r="V51" s="68" t="s">
        <v>360</v>
      </c>
      <c r="W51" s="68" t="s">
        <v>361</v>
      </c>
      <c r="X51" s="10"/>
    </row>
    <row r="52" spans="1:24" ht="43" customHeight="1">
      <c r="A52" s="88">
        <v>50</v>
      </c>
      <c r="B52" s="56" t="s">
        <v>129</v>
      </c>
      <c r="C52" s="36" t="s">
        <v>156</v>
      </c>
      <c r="D52" s="36" t="s">
        <v>362</v>
      </c>
      <c r="E52" s="72" t="s">
        <v>363</v>
      </c>
      <c r="F52" s="53" t="s">
        <v>252</v>
      </c>
      <c r="G52" s="105">
        <v>10</v>
      </c>
      <c r="H52" s="105" t="s">
        <v>162</v>
      </c>
      <c r="I52" s="105">
        <v>12</v>
      </c>
      <c r="J52" s="105">
        <v>0</v>
      </c>
      <c r="K52" s="110">
        <f t="shared" si="2"/>
        <v>22</v>
      </c>
      <c r="L52" s="113">
        <v>1</v>
      </c>
      <c r="M52" s="110">
        <f t="shared" si="3"/>
        <v>22</v>
      </c>
      <c r="N52" s="36" t="s">
        <v>159</v>
      </c>
      <c r="O52" s="82" t="s">
        <v>160</v>
      </c>
      <c r="P52" s="36" t="s">
        <v>161</v>
      </c>
      <c r="Q52" s="75" t="s">
        <v>73</v>
      </c>
      <c r="R52" s="75" t="s">
        <v>162</v>
      </c>
      <c r="S52" s="75" t="s">
        <v>162</v>
      </c>
      <c r="T52" s="75" t="s">
        <v>73</v>
      </c>
      <c r="U52" s="36"/>
      <c r="V52" s="103" t="s">
        <v>364</v>
      </c>
      <c r="W52" s="103" t="s">
        <v>365</v>
      </c>
      <c r="X52" s="38"/>
    </row>
    <row r="53" spans="1:24" ht="43" customHeight="1">
      <c r="A53" s="87">
        <v>51</v>
      </c>
      <c r="B53" s="57" t="s">
        <v>129</v>
      </c>
      <c r="C53" s="8" t="s">
        <v>156</v>
      </c>
      <c r="D53" s="8" t="s">
        <v>366</v>
      </c>
      <c r="E53" s="73" t="s">
        <v>367</v>
      </c>
      <c r="F53" s="14" t="s">
        <v>252</v>
      </c>
      <c r="G53" s="106">
        <v>20</v>
      </c>
      <c r="H53" s="106" t="s">
        <v>73</v>
      </c>
      <c r="I53" s="106">
        <v>0</v>
      </c>
      <c r="J53" s="106">
        <v>0</v>
      </c>
      <c r="K53" s="110">
        <f t="shared" si="2"/>
        <v>20</v>
      </c>
      <c r="L53" s="114">
        <v>1</v>
      </c>
      <c r="M53" s="110">
        <f t="shared" si="3"/>
        <v>20</v>
      </c>
      <c r="N53" s="8" t="s">
        <v>159</v>
      </c>
      <c r="O53" s="4" t="s">
        <v>160</v>
      </c>
      <c r="P53" s="8" t="s">
        <v>161</v>
      </c>
      <c r="Q53" s="76" t="s">
        <v>73</v>
      </c>
      <c r="R53" s="76" t="s">
        <v>162</v>
      </c>
      <c r="S53" s="76" t="s">
        <v>162</v>
      </c>
      <c r="T53" s="76" t="s">
        <v>73</v>
      </c>
      <c r="U53" s="8"/>
      <c r="V53" s="68" t="s">
        <v>368</v>
      </c>
      <c r="W53" s="68" t="s">
        <v>369</v>
      </c>
      <c r="X53" s="10"/>
    </row>
    <row r="54" spans="1:24" ht="43" customHeight="1">
      <c r="A54" s="88">
        <v>52</v>
      </c>
      <c r="B54" s="56" t="s">
        <v>131</v>
      </c>
      <c r="C54" s="36" t="s">
        <v>156</v>
      </c>
      <c r="D54" s="36" t="s">
        <v>370</v>
      </c>
      <c r="E54" s="72" t="s">
        <v>371</v>
      </c>
      <c r="F54" s="53" t="s">
        <v>248</v>
      </c>
      <c r="G54" s="105">
        <v>10</v>
      </c>
      <c r="H54" s="105" t="s">
        <v>73</v>
      </c>
      <c r="I54" s="105"/>
      <c r="J54" s="105"/>
      <c r="K54" s="110">
        <f t="shared" si="2"/>
        <v>10</v>
      </c>
      <c r="L54" s="113">
        <v>1</v>
      </c>
      <c r="M54" s="110">
        <f t="shared" si="3"/>
        <v>10</v>
      </c>
      <c r="N54" s="36" t="s">
        <v>159</v>
      </c>
      <c r="O54" s="82" t="s">
        <v>160</v>
      </c>
      <c r="P54" s="36" t="s">
        <v>161</v>
      </c>
      <c r="Q54" s="75" t="s">
        <v>73</v>
      </c>
      <c r="R54" s="75" t="s">
        <v>162</v>
      </c>
      <c r="S54" s="75" t="s">
        <v>162</v>
      </c>
      <c r="T54" s="75" t="s">
        <v>162</v>
      </c>
      <c r="U54" s="36" t="s">
        <v>227</v>
      </c>
      <c r="V54" s="103" t="s">
        <v>372</v>
      </c>
      <c r="W54" s="103" t="s">
        <v>373</v>
      </c>
      <c r="X54" s="38"/>
    </row>
    <row r="55" spans="1:24" ht="43" customHeight="1">
      <c r="A55" s="87">
        <v>53</v>
      </c>
      <c r="B55" s="57" t="s">
        <v>129</v>
      </c>
      <c r="C55" s="8" t="s">
        <v>156</v>
      </c>
      <c r="D55" s="8" t="s">
        <v>370</v>
      </c>
      <c r="E55" s="73" t="s">
        <v>374</v>
      </c>
      <c r="F55" s="14" t="s">
        <v>252</v>
      </c>
      <c r="G55" s="106">
        <v>20</v>
      </c>
      <c r="H55" s="106" t="s">
        <v>73</v>
      </c>
      <c r="I55" s="106"/>
      <c r="J55" s="106">
        <v>0</v>
      </c>
      <c r="K55" s="110">
        <f t="shared" si="2"/>
        <v>20</v>
      </c>
      <c r="L55" s="114">
        <v>1</v>
      </c>
      <c r="M55" s="110">
        <f t="shared" si="3"/>
        <v>20</v>
      </c>
      <c r="N55" s="8" t="s">
        <v>159</v>
      </c>
      <c r="O55" s="4" t="s">
        <v>160</v>
      </c>
      <c r="P55" s="8" t="s">
        <v>161</v>
      </c>
      <c r="Q55" s="76" t="s">
        <v>73</v>
      </c>
      <c r="R55" s="76" t="s">
        <v>162</v>
      </c>
      <c r="S55" s="76" t="s">
        <v>162</v>
      </c>
      <c r="T55" s="76" t="s">
        <v>73</v>
      </c>
      <c r="U55" s="8"/>
      <c r="V55" s="68" t="s">
        <v>375</v>
      </c>
      <c r="W55" s="68" t="s">
        <v>376</v>
      </c>
      <c r="X55" s="10"/>
    </row>
    <row r="56" spans="1:24" ht="43" customHeight="1">
      <c r="A56" s="88">
        <v>54</v>
      </c>
      <c r="B56" s="56" t="s">
        <v>129</v>
      </c>
      <c r="C56" s="36" t="s">
        <v>156</v>
      </c>
      <c r="D56" s="36" t="s">
        <v>377</v>
      </c>
      <c r="E56" s="72" t="s">
        <v>378</v>
      </c>
      <c r="F56" s="53" t="s">
        <v>252</v>
      </c>
      <c r="G56" s="105">
        <v>18</v>
      </c>
      <c r="H56" s="105" t="s">
        <v>162</v>
      </c>
      <c r="I56" s="105">
        <v>12</v>
      </c>
      <c r="J56" s="105">
        <v>0</v>
      </c>
      <c r="K56" s="110">
        <f t="shared" si="2"/>
        <v>30</v>
      </c>
      <c r="L56" s="113">
        <v>1</v>
      </c>
      <c r="M56" s="110">
        <f t="shared" si="3"/>
        <v>30</v>
      </c>
      <c r="N56" s="36" t="s">
        <v>159</v>
      </c>
      <c r="O56" s="82" t="s">
        <v>160</v>
      </c>
      <c r="P56" s="36" t="s">
        <v>161</v>
      </c>
      <c r="Q56" s="75" t="s">
        <v>73</v>
      </c>
      <c r="R56" s="75" t="s">
        <v>162</v>
      </c>
      <c r="S56" s="75" t="s">
        <v>162</v>
      </c>
      <c r="T56" s="75" t="s">
        <v>73</v>
      </c>
      <c r="U56" s="36"/>
      <c r="V56" s="103" t="s">
        <v>379</v>
      </c>
      <c r="W56" s="103" t="s">
        <v>380</v>
      </c>
      <c r="X56" s="38"/>
    </row>
    <row r="57" spans="1:24" ht="43" customHeight="1">
      <c r="A57" s="87">
        <v>55</v>
      </c>
      <c r="B57" s="57" t="s">
        <v>129</v>
      </c>
      <c r="C57" s="8" t="s">
        <v>156</v>
      </c>
      <c r="D57" s="8" t="s">
        <v>381</v>
      </c>
      <c r="E57" s="73" t="s">
        <v>382</v>
      </c>
      <c r="F57" s="14" t="s">
        <v>252</v>
      </c>
      <c r="G57" s="106">
        <v>15</v>
      </c>
      <c r="H57" s="106" t="s">
        <v>162</v>
      </c>
      <c r="I57" s="106">
        <v>12</v>
      </c>
      <c r="J57" s="106">
        <v>0</v>
      </c>
      <c r="K57" s="110">
        <f t="shared" si="2"/>
        <v>27</v>
      </c>
      <c r="L57" s="114">
        <v>1</v>
      </c>
      <c r="M57" s="110">
        <f t="shared" si="3"/>
        <v>27</v>
      </c>
      <c r="N57" s="8" t="s">
        <v>159</v>
      </c>
      <c r="O57" s="4" t="s">
        <v>160</v>
      </c>
      <c r="P57" s="8" t="s">
        <v>290</v>
      </c>
      <c r="Q57" s="76" t="s">
        <v>73</v>
      </c>
      <c r="R57" s="76" t="s">
        <v>162</v>
      </c>
      <c r="S57" s="76" t="s">
        <v>162</v>
      </c>
      <c r="T57" s="76" t="s">
        <v>73</v>
      </c>
      <c r="U57" s="8"/>
      <c r="V57" s="68" t="s">
        <v>383</v>
      </c>
      <c r="W57" s="68" t="s">
        <v>384</v>
      </c>
      <c r="X57" s="10"/>
    </row>
    <row r="58" spans="1:24" ht="43" customHeight="1">
      <c r="A58" s="88">
        <v>56</v>
      </c>
      <c r="B58" s="56" t="s">
        <v>129</v>
      </c>
      <c r="C58" s="36" t="s">
        <v>156</v>
      </c>
      <c r="D58" s="36" t="s">
        <v>385</v>
      </c>
      <c r="E58" s="72" t="s">
        <v>386</v>
      </c>
      <c r="F58" s="53" t="s">
        <v>252</v>
      </c>
      <c r="G58" s="105">
        <v>25</v>
      </c>
      <c r="H58" s="105" t="s">
        <v>162</v>
      </c>
      <c r="I58" s="105">
        <v>6</v>
      </c>
      <c r="J58" s="105">
        <v>0</v>
      </c>
      <c r="K58" s="110">
        <f t="shared" si="2"/>
        <v>31</v>
      </c>
      <c r="L58" s="113">
        <v>1</v>
      </c>
      <c r="M58" s="110">
        <f t="shared" si="3"/>
        <v>31</v>
      </c>
      <c r="N58" s="36" t="s">
        <v>159</v>
      </c>
      <c r="O58" s="82" t="s">
        <v>160</v>
      </c>
      <c r="P58" s="36" t="s">
        <v>214</v>
      </c>
      <c r="Q58" s="75" t="s">
        <v>73</v>
      </c>
      <c r="R58" s="75" t="s">
        <v>162</v>
      </c>
      <c r="S58" s="75" t="s">
        <v>162</v>
      </c>
      <c r="T58" s="75" t="s">
        <v>73</v>
      </c>
      <c r="U58" s="36"/>
      <c r="V58" s="103" t="s">
        <v>387</v>
      </c>
      <c r="W58" s="103" t="s">
        <v>388</v>
      </c>
      <c r="X58" s="38"/>
    </row>
    <row r="59" spans="1:24" ht="43" customHeight="1">
      <c r="A59" s="87">
        <v>57</v>
      </c>
      <c r="B59" s="57" t="s">
        <v>129</v>
      </c>
      <c r="C59" s="8" t="s">
        <v>156</v>
      </c>
      <c r="D59" s="8" t="s">
        <v>389</v>
      </c>
      <c r="E59" s="73" t="s">
        <v>390</v>
      </c>
      <c r="F59" s="14" t="s">
        <v>252</v>
      </c>
      <c r="G59" s="106">
        <v>15</v>
      </c>
      <c r="H59" s="106" t="s">
        <v>162</v>
      </c>
      <c r="I59" s="106">
        <v>5</v>
      </c>
      <c r="J59" s="106">
        <v>0</v>
      </c>
      <c r="K59" s="110">
        <f t="shared" si="2"/>
        <v>20</v>
      </c>
      <c r="L59" s="114">
        <v>1</v>
      </c>
      <c r="M59" s="110">
        <f t="shared" si="3"/>
        <v>20</v>
      </c>
      <c r="N59" s="8" t="s">
        <v>159</v>
      </c>
      <c r="O59" s="4" t="s">
        <v>160</v>
      </c>
      <c r="P59" s="8" t="s">
        <v>161</v>
      </c>
      <c r="Q59" s="76" t="s">
        <v>73</v>
      </c>
      <c r="R59" s="76" t="s">
        <v>162</v>
      </c>
      <c r="S59" s="76" t="s">
        <v>162</v>
      </c>
      <c r="T59" s="76" t="s">
        <v>73</v>
      </c>
      <c r="U59" s="8"/>
      <c r="V59" s="68" t="s">
        <v>391</v>
      </c>
      <c r="W59" s="68" t="s">
        <v>392</v>
      </c>
      <c r="X59" s="10"/>
    </row>
    <row r="60" spans="1:24" ht="43" customHeight="1">
      <c r="A60" s="88">
        <v>58</v>
      </c>
      <c r="B60" s="56" t="s">
        <v>127</v>
      </c>
      <c r="C60" s="36" t="s">
        <v>156</v>
      </c>
      <c r="D60" s="36" t="s">
        <v>393</v>
      </c>
      <c r="E60" s="72" t="s">
        <v>394</v>
      </c>
      <c r="F60" s="53" t="s">
        <v>248</v>
      </c>
      <c r="G60" s="105">
        <v>35</v>
      </c>
      <c r="H60" s="105" t="s">
        <v>73</v>
      </c>
      <c r="I60" s="105"/>
      <c r="J60" s="105"/>
      <c r="K60" s="110">
        <f t="shared" si="2"/>
        <v>35</v>
      </c>
      <c r="L60" s="113">
        <v>1</v>
      </c>
      <c r="M60" s="110">
        <f t="shared" si="3"/>
        <v>35</v>
      </c>
      <c r="N60" s="36" t="s">
        <v>159</v>
      </c>
      <c r="O60" s="82" t="s">
        <v>160</v>
      </c>
      <c r="P60" s="36" t="s">
        <v>161</v>
      </c>
      <c r="Q60" s="75" t="s">
        <v>73</v>
      </c>
      <c r="R60" s="75" t="s">
        <v>162</v>
      </c>
      <c r="S60" s="75" t="s">
        <v>162</v>
      </c>
      <c r="T60" s="75" t="s">
        <v>73</v>
      </c>
      <c r="U60" s="36"/>
      <c r="V60" s="103" t="s">
        <v>395</v>
      </c>
      <c r="W60" s="103" t="s">
        <v>396</v>
      </c>
      <c r="X60" s="38"/>
    </row>
    <row r="61" spans="1:24" ht="43" customHeight="1">
      <c r="A61" s="87">
        <v>59</v>
      </c>
      <c r="B61" s="57" t="s">
        <v>129</v>
      </c>
      <c r="C61" s="8" t="s">
        <v>156</v>
      </c>
      <c r="D61" s="8" t="s">
        <v>393</v>
      </c>
      <c r="E61" s="73" t="s">
        <v>397</v>
      </c>
      <c r="F61" s="14" t="s">
        <v>252</v>
      </c>
      <c r="G61" s="106">
        <v>20</v>
      </c>
      <c r="H61" s="106" t="s">
        <v>73</v>
      </c>
      <c r="I61" s="106"/>
      <c r="J61" s="106">
        <v>0</v>
      </c>
      <c r="K61" s="110">
        <f t="shared" si="2"/>
        <v>20</v>
      </c>
      <c r="L61" s="114">
        <v>1</v>
      </c>
      <c r="M61" s="110">
        <f t="shared" si="3"/>
        <v>20</v>
      </c>
      <c r="N61" s="8" t="s">
        <v>159</v>
      </c>
      <c r="O61" s="4" t="s">
        <v>160</v>
      </c>
      <c r="P61" s="8" t="s">
        <v>161</v>
      </c>
      <c r="Q61" s="76" t="s">
        <v>73</v>
      </c>
      <c r="R61" s="76" t="s">
        <v>162</v>
      </c>
      <c r="S61" s="76" t="s">
        <v>162</v>
      </c>
      <c r="T61" s="76" t="s">
        <v>73</v>
      </c>
      <c r="U61" s="8"/>
      <c r="V61" s="68" t="s">
        <v>398</v>
      </c>
      <c r="W61" s="68" t="s">
        <v>399</v>
      </c>
      <c r="X61" s="10"/>
    </row>
    <row r="62" spans="1:24" ht="43" customHeight="1">
      <c r="A62" s="88">
        <v>60</v>
      </c>
      <c r="B62" s="56" t="s">
        <v>125</v>
      </c>
      <c r="C62" s="36" t="s">
        <v>156</v>
      </c>
      <c r="D62" s="36" t="s">
        <v>400</v>
      </c>
      <c r="E62" s="72" t="s">
        <v>401</v>
      </c>
      <c r="F62" s="83">
        <v>46248</v>
      </c>
      <c r="G62" s="105">
        <v>35</v>
      </c>
      <c r="H62" s="105" t="s">
        <v>162</v>
      </c>
      <c r="I62" s="105">
        <v>8</v>
      </c>
      <c r="J62" s="105">
        <v>0</v>
      </c>
      <c r="K62" s="110">
        <f t="shared" ref="K62:K79" si="4">IF(A62="","",G62+I62+J62)</f>
        <v>43</v>
      </c>
      <c r="L62" s="113">
        <v>1</v>
      </c>
      <c r="M62" s="110">
        <f t="shared" ref="M62:M79" si="5">IF(A62="","",IFERROR(K62/L62,""))</f>
        <v>43</v>
      </c>
      <c r="N62" s="36" t="s">
        <v>159</v>
      </c>
      <c r="O62" s="82" t="s">
        <v>160</v>
      </c>
      <c r="P62" s="36" t="s">
        <v>161</v>
      </c>
      <c r="Q62" s="75" t="s">
        <v>73</v>
      </c>
      <c r="R62" s="75" t="s">
        <v>162</v>
      </c>
      <c r="S62" s="75" t="s">
        <v>162</v>
      </c>
      <c r="T62" s="75" t="s">
        <v>73</v>
      </c>
      <c r="U62" s="36"/>
      <c r="V62" s="103" t="s">
        <v>402</v>
      </c>
      <c r="W62" s="103" t="s">
        <v>403</v>
      </c>
      <c r="X62" s="38"/>
    </row>
    <row r="63" spans="1:24" ht="43" customHeight="1">
      <c r="A63" s="87">
        <v>61</v>
      </c>
      <c r="B63" s="57" t="s">
        <v>129</v>
      </c>
      <c r="C63" s="8" t="s">
        <v>156</v>
      </c>
      <c r="D63" s="8" t="s">
        <v>400</v>
      </c>
      <c r="E63" s="73" t="s">
        <v>404</v>
      </c>
      <c r="F63" s="25">
        <v>46248</v>
      </c>
      <c r="G63" s="106">
        <v>25</v>
      </c>
      <c r="H63" s="106" t="s">
        <v>162</v>
      </c>
      <c r="I63" s="106">
        <v>8</v>
      </c>
      <c r="J63" s="106">
        <v>0</v>
      </c>
      <c r="K63" s="110">
        <f t="shared" si="4"/>
        <v>33</v>
      </c>
      <c r="L63" s="114">
        <v>1</v>
      </c>
      <c r="M63" s="110">
        <f t="shared" si="5"/>
        <v>33</v>
      </c>
      <c r="N63" s="8" t="s">
        <v>159</v>
      </c>
      <c r="O63" s="4" t="s">
        <v>160</v>
      </c>
      <c r="P63" s="8" t="s">
        <v>161</v>
      </c>
      <c r="Q63" s="76" t="s">
        <v>73</v>
      </c>
      <c r="R63" s="76" t="s">
        <v>162</v>
      </c>
      <c r="S63" s="76" t="s">
        <v>162</v>
      </c>
      <c r="T63" s="76" t="s">
        <v>73</v>
      </c>
      <c r="U63" s="8"/>
      <c r="V63" s="68" t="s">
        <v>405</v>
      </c>
      <c r="W63" s="68" t="s">
        <v>406</v>
      </c>
      <c r="X63" s="10"/>
    </row>
    <row r="64" spans="1:24" ht="43" customHeight="1">
      <c r="A64" s="88">
        <v>62</v>
      </c>
      <c r="B64" s="56" t="s">
        <v>116</v>
      </c>
      <c r="C64" s="36" t="s">
        <v>156</v>
      </c>
      <c r="D64" s="36" t="s">
        <v>407</v>
      </c>
      <c r="E64" s="95" t="s">
        <v>408</v>
      </c>
      <c r="F64" s="83">
        <v>46248</v>
      </c>
      <c r="G64" s="105">
        <v>50</v>
      </c>
      <c r="H64" s="105" t="s">
        <v>73</v>
      </c>
      <c r="I64" s="105">
        <v>0</v>
      </c>
      <c r="J64" s="84">
        <v>0</v>
      </c>
      <c r="K64" s="110">
        <f t="shared" si="4"/>
        <v>50</v>
      </c>
      <c r="L64" s="113">
        <v>1</v>
      </c>
      <c r="M64" s="110">
        <f t="shared" si="5"/>
        <v>50</v>
      </c>
      <c r="N64" s="36" t="s">
        <v>159</v>
      </c>
      <c r="O64" s="82" t="s">
        <v>160</v>
      </c>
      <c r="P64" s="36" t="s">
        <v>161</v>
      </c>
      <c r="Q64" s="105" t="s">
        <v>73</v>
      </c>
      <c r="R64" s="105" t="s">
        <v>162</v>
      </c>
      <c r="S64" s="105" t="s">
        <v>162</v>
      </c>
      <c r="T64" s="75" t="s">
        <v>73</v>
      </c>
      <c r="U64" s="36"/>
      <c r="V64" s="103" t="s">
        <v>409</v>
      </c>
      <c r="W64" s="103" t="s">
        <v>410</v>
      </c>
      <c r="X64" s="38"/>
    </row>
    <row r="65" spans="1:24" ht="43" customHeight="1">
      <c r="A65" s="87">
        <v>63</v>
      </c>
      <c r="B65" s="57" t="s">
        <v>109</v>
      </c>
      <c r="C65" s="8" t="s">
        <v>156</v>
      </c>
      <c r="D65" s="8" t="s">
        <v>407</v>
      </c>
      <c r="E65" s="96" t="s">
        <v>411</v>
      </c>
      <c r="F65" s="25">
        <v>46248</v>
      </c>
      <c r="G65" s="106">
        <v>50</v>
      </c>
      <c r="H65" s="106" t="s">
        <v>73</v>
      </c>
      <c r="I65" s="106">
        <v>0</v>
      </c>
      <c r="J65" s="26">
        <v>0</v>
      </c>
      <c r="K65" s="110">
        <f t="shared" si="4"/>
        <v>50</v>
      </c>
      <c r="L65" s="114">
        <v>1</v>
      </c>
      <c r="M65" s="110">
        <f t="shared" si="5"/>
        <v>50</v>
      </c>
      <c r="N65" s="8" t="s">
        <v>159</v>
      </c>
      <c r="O65" s="4" t="s">
        <v>160</v>
      </c>
      <c r="P65" s="8" t="s">
        <v>161</v>
      </c>
      <c r="Q65" s="106" t="s">
        <v>73</v>
      </c>
      <c r="R65" s="106" t="s">
        <v>162</v>
      </c>
      <c r="S65" s="106" t="s">
        <v>162</v>
      </c>
      <c r="T65" s="76" t="s">
        <v>73</v>
      </c>
      <c r="U65" s="8"/>
      <c r="V65" s="68" t="s">
        <v>412</v>
      </c>
      <c r="W65" s="68" t="s">
        <v>413</v>
      </c>
      <c r="X65" s="10"/>
    </row>
    <row r="66" spans="1:24" ht="43" customHeight="1">
      <c r="A66" s="88">
        <v>64</v>
      </c>
      <c r="B66" s="56" t="s">
        <v>116</v>
      </c>
      <c r="C66" s="36" t="s">
        <v>156</v>
      </c>
      <c r="D66" s="36" t="s">
        <v>414</v>
      </c>
      <c r="E66" s="95" t="s">
        <v>415</v>
      </c>
      <c r="F66" s="83">
        <v>46247</v>
      </c>
      <c r="G66" s="105">
        <v>45</v>
      </c>
      <c r="H66" s="105" t="s">
        <v>73</v>
      </c>
      <c r="I66" s="105">
        <v>0</v>
      </c>
      <c r="J66" s="84">
        <v>0</v>
      </c>
      <c r="K66" s="110">
        <f t="shared" si="4"/>
        <v>45</v>
      </c>
      <c r="L66" s="113">
        <v>1</v>
      </c>
      <c r="M66" s="110">
        <f t="shared" si="5"/>
        <v>45</v>
      </c>
      <c r="N66" s="36" t="s">
        <v>159</v>
      </c>
      <c r="O66" s="82" t="s">
        <v>160</v>
      </c>
      <c r="P66" s="36" t="s">
        <v>161</v>
      </c>
      <c r="Q66" s="105" t="s">
        <v>73</v>
      </c>
      <c r="R66" s="105" t="s">
        <v>162</v>
      </c>
      <c r="S66" s="105" t="s">
        <v>162</v>
      </c>
      <c r="T66" s="75" t="s">
        <v>73</v>
      </c>
      <c r="U66" s="36"/>
      <c r="V66" s="103" t="s">
        <v>416</v>
      </c>
      <c r="W66" s="103" t="s">
        <v>417</v>
      </c>
      <c r="X66" s="38"/>
    </row>
    <row r="67" spans="1:24" ht="43" customHeight="1">
      <c r="A67" s="87">
        <v>65</v>
      </c>
      <c r="B67" s="57" t="s">
        <v>109</v>
      </c>
      <c r="C67" s="8" t="s">
        <v>156</v>
      </c>
      <c r="D67" s="8" t="s">
        <v>414</v>
      </c>
      <c r="E67" s="96" t="s">
        <v>418</v>
      </c>
      <c r="F67" s="25">
        <v>46248</v>
      </c>
      <c r="G67" s="106">
        <v>45</v>
      </c>
      <c r="H67" s="106" t="s">
        <v>73</v>
      </c>
      <c r="I67" s="106">
        <v>0</v>
      </c>
      <c r="J67" s="26">
        <v>0</v>
      </c>
      <c r="K67" s="110">
        <f t="shared" si="4"/>
        <v>45</v>
      </c>
      <c r="L67" s="114">
        <v>1</v>
      </c>
      <c r="M67" s="110">
        <f t="shared" si="5"/>
        <v>45</v>
      </c>
      <c r="N67" s="8" t="s">
        <v>159</v>
      </c>
      <c r="O67" s="4" t="s">
        <v>160</v>
      </c>
      <c r="P67" s="8" t="s">
        <v>161</v>
      </c>
      <c r="Q67" s="106" t="s">
        <v>73</v>
      </c>
      <c r="R67" s="106" t="s">
        <v>162</v>
      </c>
      <c r="S67" s="106" t="s">
        <v>162</v>
      </c>
      <c r="T67" s="76" t="s">
        <v>73</v>
      </c>
      <c r="U67" s="8"/>
      <c r="V67" s="68" t="s">
        <v>419</v>
      </c>
      <c r="W67" s="68" t="s">
        <v>420</v>
      </c>
      <c r="X67" s="10"/>
    </row>
    <row r="68" spans="1:24" ht="43" customHeight="1">
      <c r="A68" s="88">
        <v>66</v>
      </c>
      <c r="B68" s="56" t="s">
        <v>109</v>
      </c>
      <c r="C68" s="36" t="s">
        <v>156</v>
      </c>
      <c r="D68" s="36" t="s">
        <v>421</v>
      </c>
      <c r="E68" s="95" t="s">
        <v>422</v>
      </c>
      <c r="F68" s="83">
        <v>46248</v>
      </c>
      <c r="G68" s="105">
        <v>69.900000000000006</v>
      </c>
      <c r="H68" s="105" t="s">
        <v>73</v>
      </c>
      <c r="I68" s="105">
        <v>0</v>
      </c>
      <c r="J68" s="84">
        <v>0</v>
      </c>
      <c r="K68" s="110">
        <f t="shared" si="4"/>
        <v>69.900000000000006</v>
      </c>
      <c r="L68" s="113">
        <v>1</v>
      </c>
      <c r="M68" s="110">
        <f t="shared" si="5"/>
        <v>69.900000000000006</v>
      </c>
      <c r="N68" s="36" t="s">
        <v>159</v>
      </c>
      <c r="O68" s="82" t="s">
        <v>160</v>
      </c>
      <c r="P68" s="36" t="s">
        <v>161</v>
      </c>
      <c r="Q68" s="75" t="s">
        <v>162</v>
      </c>
      <c r="R68" s="75" t="s">
        <v>162</v>
      </c>
      <c r="S68" s="75" t="s">
        <v>162</v>
      </c>
      <c r="T68" s="75" t="s">
        <v>73</v>
      </c>
      <c r="U68" s="36"/>
      <c r="V68" s="103" t="s">
        <v>423</v>
      </c>
      <c r="W68" s="103" t="s">
        <v>424</v>
      </c>
      <c r="X68" s="38"/>
    </row>
    <row r="69" spans="1:24" ht="43" customHeight="1">
      <c r="A69" s="87">
        <v>67</v>
      </c>
      <c r="B69" s="57" t="s">
        <v>109</v>
      </c>
      <c r="C69" s="8" t="s">
        <v>156</v>
      </c>
      <c r="D69" s="8" t="s">
        <v>425</v>
      </c>
      <c r="E69" s="96" t="s">
        <v>426</v>
      </c>
      <c r="F69" s="25">
        <v>46248</v>
      </c>
      <c r="G69" s="106">
        <v>63</v>
      </c>
      <c r="H69" s="106" t="s">
        <v>73</v>
      </c>
      <c r="I69" s="106">
        <v>0</v>
      </c>
      <c r="J69" s="26">
        <v>0</v>
      </c>
      <c r="K69" s="110">
        <f t="shared" si="4"/>
        <v>63</v>
      </c>
      <c r="L69" s="114">
        <v>1</v>
      </c>
      <c r="M69" s="110">
        <f t="shared" si="5"/>
        <v>63</v>
      </c>
      <c r="N69" s="8" t="s">
        <v>159</v>
      </c>
      <c r="O69" s="4" t="s">
        <v>160</v>
      </c>
      <c r="P69" s="8" t="s">
        <v>161</v>
      </c>
      <c r="Q69" s="76" t="s">
        <v>162</v>
      </c>
      <c r="R69" s="76" t="s">
        <v>162</v>
      </c>
      <c r="S69" s="76" t="s">
        <v>162</v>
      </c>
      <c r="T69" s="76" t="s">
        <v>73</v>
      </c>
      <c r="U69" s="8"/>
      <c r="V69" s="68" t="s">
        <v>427</v>
      </c>
      <c r="W69" s="68" t="s">
        <v>428</v>
      </c>
      <c r="X69" s="10"/>
    </row>
    <row r="70" spans="1:24" ht="43" customHeight="1">
      <c r="A70" s="88">
        <v>68</v>
      </c>
      <c r="B70" s="56" t="s">
        <v>119</v>
      </c>
      <c r="C70" s="36" t="s">
        <v>156</v>
      </c>
      <c r="D70" s="36" t="s">
        <v>429</v>
      </c>
      <c r="E70" s="95" t="s">
        <v>430</v>
      </c>
      <c r="F70" s="83">
        <v>46248</v>
      </c>
      <c r="G70" s="105">
        <v>49</v>
      </c>
      <c r="H70" s="105" t="s">
        <v>162</v>
      </c>
      <c r="I70" s="105">
        <v>12</v>
      </c>
      <c r="J70" s="84">
        <v>0</v>
      </c>
      <c r="K70" s="110">
        <f t="shared" si="4"/>
        <v>61</v>
      </c>
      <c r="L70" s="113">
        <v>1</v>
      </c>
      <c r="M70" s="110">
        <f t="shared" si="5"/>
        <v>61</v>
      </c>
      <c r="N70" s="36" t="s">
        <v>159</v>
      </c>
      <c r="O70" s="82" t="s">
        <v>160</v>
      </c>
      <c r="P70" s="36" t="s">
        <v>161</v>
      </c>
      <c r="Q70" s="75" t="s">
        <v>73</v>
      </c>
      <c r="R70" s="75" t="s">
        <v>162</v>
      </c>
      <c r="S70" s="75" t="s">
        <v>162</v>
      </c>
      <c r="T70" s="75" t="s">
        <v>73</v>
      </c>
      <c r="U70" s="36"/>
      <c r="V70" s="103" t="s">
        <v>431</v>
      </c>
      <c r="W70" s="103" t="s">
        <v>432</v>
      </c>
      <c r="X70" s="38"/>
    </row>
    <row r="71" spans="1:24" ht="43" customHeight="1">
      <c r="A71" s="87">
        <v>69</v>
      </c>
      <c r="B71" s="57" t="s">
        <v>125</v>
      </c>
      <c r="C71" s="8" t="s">
        <v>156</v>
      </c>
      <c r="D71" s="8" t="s">
        <v>433</v>
      </c>
      <c r="E71" s="96" t="s">
        <v>434</v>
      </c>
      <c r="F71" s="25">
        <v>46247</v>
      </c>
      <c r="G71" s="106">
        <v>22.5</v>
      </c>
      <c r="H71" s="106" t="s">
        <v>162</v>
      </c>
      <c r="I71" s="106">
        <v>5</v>
      </c>
      <c r="J71" s="26">
        <v>0</v>
      </c>
      <c r="K71" s="110">
        <f t="shared" si="4"/>
        <v>27.5</v>
      </c>
      <c r="L71" s="114">
        <v>1</v>
      </c>
      <c r="M71" s="110">
        <f t="shared" si="5"/>
        <v>27.5</v>
      </c>
      <c r="N71" s="8" t="s">
        <v>159</v>
      </c>
      <c r="O71" s="4" t="s">
        <v>160</v>
      </c>
      <c r="P71" s="8" t="s">
        <v>161</v>
      </c>
      <c r="Q71" s="76" t="s">
        <v>73</v>
      </c>
      <c r="R71" s="76" t="s">
        <v>162</v>
      </c>
      <c r="S71" s="76" t="s">
        <v>162</v>
      </c>
      <c r="T71" s="76" t="s">
        <v>73</v>
      </c>
      <c r="U71" s="8"/>
      <c r="V71" s="68" t="s">
        <v>435</v>
      </c>
      <c r="W71" s="68" t="s">
        <v>436</v>
      </c>
      <c r="X71" s="10"/>
    </row>
    <row r="72" spans="1:24" ht="43" customHeight="1">
      <c r="A72" s="88">
        <v>70</v>
      </c>
      <c r="B72" s="56" t="s">
        <v>127</v>
      </c>
      <c r="C72" s="36" t="s">
        <v>156</v>
      </c>
      <c r="D72" s="36" t="s">
        <v>433</v>
      </c>
      <c r="E72" s="95" t="s">
        <v>437</v>
      </c>
      <c r="F72" s="83">
        <v>46248</v>
      </c>
      <c r="G72" s="105">
        <v>22.5</v>
      </c>
      <c r="H72" s="105" t="s">
        <v>162</v>
      </c>
      <c r="I72" s="105">
        <v>5</v>
      </c>
      <c r="J72" s="84">
        <v>0</v>
      </c>
      <c r="K72" s="110">
        <f t="shared" si="4"/>
        <v>27.5</v>
      </c>
      <c r="L72" s="113">
        <v>1</v>
      </c>
      <c r="M72" s="110">
        <f t="shared" si="5"/>
        <v>27.5</v>
      </c>
      <c r="N72" s="36" t="s">
        <v>159</v>
      </c>
      <c r="O72" s="82" t="s">
        <v>160</v>
      </c>
      <c r="P72" s="36" t="s">
        <v>161</v>
      </c>
      <c r="Q72" s="75" t="s">
        <v>73</v>
      </c>
      <c r="R72" s="75" t="s">
        <v>162</v>
      </c>
      <c r="S72" s="75" t="s">
        <v>162</v>
      </c>
      <c r="T72" s="75" t="s">
        <v>73</v>
      </c>
      <c r="U72" s="36"/>
      <c r="V72" s="103" t="s">
        <v>438</v>
      </c>
      <c r="W72" s="103" t="s">
        <v>439</v>
      </c>
      <c r="X72" s="38"/>
    </row>
    <row r="73" spans="1:24" ht="43" customHeight="1">
      <c r="A73" s="87">
        <v>71</v>
      </c>
      <c r="B73" s="57" t="s">
        <v>127</v>
      </c>
      <c r="C73" s="8" t="s">
        <v>156</v>
      </c>
      <c r="D73" s="8" t="s">
        <v>440</v>
      </c>
      <c r="E73" s="96" t="s">
        <v>441</v>
      </c>
      <c r="F73" s="25">
        <v>46247</v>
      </c>
      <c r="G73" s="106">
        <v>30</v>
      </c>
      <c r="H73" s="106" t="s">
        <v>162</v>
      </c>
      <c r="I73" s="106">
        <v>8</v>
      </c>
      <c r="J73" s="26">
        <v>0</v>
      </c>
      <c r="K73" s="110">
        <f t="shared" si="4"/>
        <v>38</v>
      </c>
      <c r="L73" s="114">
        <v>1</v>
      </c>
      <c r="M73" s="110">
        <f t="shared" si="5"/>
        <v>38</v>
      </c>
      <c r="N73" s="8" t="s">
        <v>159</v>
      </c>
      <c r="O73" s="4" t="s">
        <v>160</v>
      </c>
      <c r="P73" s="8" t="s">
        <v>161</v>
      </c>
      <c r="Q73" s="76" t="s">
        <v>73</v>
      </c>
      <c r="R73" s="76" t="s">
        <v>162</v>
      </c>
      <c r="S73" s="76" t="s">
        <v>162</v>
      </c>
      <c r="T73" s="76" t="s">
        <v>73</v>
      </c>
      <c r="U73" s="8"/>
      <c r="V73" s="68" t="s">
        <v>442</v>
      </c>
      <c r="W73" s="68" t="s">
        <v>443</v>
      </c>
      <c r="X73" s="10"/>
    </row>
    <row r="74" spans="1:24" ht="43" customHeight="1">
      <c r="A74" s="88">
        <v>72</v>
      </c>
      <c r="B74" s="56" t="s">
        <v>119</v>
      </c>
      <c r="C74" s="36" t="s">
        <v>156</v>
      </c>
      <c r="D74" s="36" t="s">
        <v>440</v>
      </c>
      <c r="E74" s="95" t="s">
        <v>444</v>
      </c>
      <c r="F74" s="83">
        <v>46248</v>
      </c>
      <c r="G74" s="105">
        <v>60</v>
      </c>
      <c r="H74" s="105" t="s">
        <v>162</v>
      </c>
      <c r="I74" s="105">
        <v>8</v>
      </c>
      <c r="J74" s="84">
        <v>0</v>
      </c>
      <c r="K74" s="110">
        <f t="shared" si="4"/>
        <v>68</v>
      </c>
      <c r="L74" s="113">
        <v>1</v>
      </c>
      <c r="M74" s="110">
        <f t="shared" si="5"/>
        <v>68</v>
      </c>
      <c r="N74" s="36" t="s">
        <v>159</v>
      </c>
      <c r="O74" s="82" t="s">
        <v>160</v>
      </c>
      <c r="P74" s="36" t="s">
        <v>161</v>
      </c>
      <c r="Q74" s="75" t="s">
        <v>73</v>
      </c>
      <c r="R74" s="75" t="s">
        <v>162</v>
      </c>
      <c r="S74" s="75" t="s">
        <v>162</v>
      </c>
      <c r="T74" s="75" t="s">
        <v>73</v>
      </c>
      <c r="U74" s="36"/>
      <c r="V74" s="103" t="s">
        <v>445</v>
      </c>
      <c r="W74" s="103" t="s">
        <v>446</v>
      </c>
      <c r="X74" s="38"/>
    </row>
    <row r="75" spans="1:24" ht="43" customHeight="1">
      <c r="A75" s="87">
        <v>73</v>
      </c>
      <c r="B75" s="57" t="s">
        <v>119</v>
      </c>
      <c r="C75" s="8" t="s">
        <v>156</v>
      </c>
      <c r="D75" s="8" t="s">
        <v>447</v>
      </c>
      <c r="E75" s="96" t="s">
        <v>448</v>
      </c>
      <c r="F75" s="25">
        <v>46247</v>
      </c>
      <c r="G75" s="106">
        <v>55</v>
      </c>
      <c r="H75" s="106" t="s">
        <v>73</v>
      </c>
      <c r="I75" s="106">
        <v>0</v>
      </c>
      <c r="J75" s="26">
        <v>0</v>
      </c>
      <c r="K75" s="110">
        <f t="shared" si="4"/>
        <v>55</v>
      </c>
      <c r="L75" s="114">
        <v>1</v>
      </c>
      <c r="M75" s="110">
        <f t="shared" si="5"/>
        <v>55</v>
      </c>
      <c r="N75" s="8" t="s">
        <v>159</v>
      </c>
      <c r="O75" s="4" t="s">
        <v>160</v>
      </c>
      <c r="P75" s="8" t="s">
        <v>161</v>
      </c>
      <c r="Q75" s="76" t="s">
        <v>73</v>
      </c>
      <c r="R75" s="76" t="s">
        <v>162</v>
      </c>
      <c r="S75" s="76" t="s">
        <v>162</v>
      </c>
      <c r="T75" s="76" t="s">
        <v>73</v>
      </c>
      <c r="U75" s="8"/>
      <c r="V75" s="68" t="s">
        <v>449</v>
      </c>
      <c r="W75" s="68" t="s">
        <v>450</v>
      </c>
      <c r="X75" s="10"/>
    </row>
    <row r="76" spans="1:24" ht="43" customHeight="1">
      <c r="A76" s="88">
        <v>74</v>
      </c>
      <c r="B76" s="56" t="s">
        <v>125</v>
      </c>
      <c r="C76" s="36" t="s">
        <v>156</v>
      </c>
      <c r="D76" s="36" t="s">
        <v>447</v>
      </c>
      <c r="E76" s="95" t="s">
        <v>451</v>
      </c>
      <c r="F76" s="83">
        <v>46248</v>
      </c>
      <c r="G76" s="105">
        <v>30</v>
      </c>
      <c r="H76" s="105" t="s">
        <v>73</v>
      </c>
      <c r="I76" s="105">
        <v>0</v>
      </c>
      <c r="J76" s="84">
        <v>0</v>
      </c>
      <c r="K76" s="110">
        <f t="shared" si="4"/>
        <v>30</v>
      </c>
      <c r="L76" s="113">
        <v>1</v>
      </c>
      <c r="M76" s="110">
        <f t="shared" si="5"/>
        <v>30</v>
      </c>
      <c r="N76" s="36" t="s">
        <v>159</v>
      </c>
      <c r="O76" s="82" t="s">
        <v>160</v>
      </c>
      <c r="P76" s="36" t="s">
        <v>161</v>
      </c>
      <c r="Q76" s="75" t="s">
        <v>73</v>
      </c>
      <c r="R76" s="75" t="s">
        <v>162</v>
      </c>
      <c r="S76" s="75" t="s">
        <v>162</v>
      </c>
      <c r="T76" s="75" t="s">
        <v>73</v>
      </c>
      <c r="U76" s="36"/>
      <c r="V76" s="103" t="s">
        <v>452</v>
      </c>
      <c r="W76" s="103" t="s">
        <v>453</v>
      </c>
      <c r="X76" s="38"/>
    </row>
    <row r="77" spans="1:24" ht="43" customHeight="1">
      <c r="A77" s="87">
        <v>75</v>
      </c>
      <c r="B77" s="57" t="s">
        <v>119</v>
      </c>
      <c r="C77" s="8" t="s">
        <v>156</v>
      </c>
      <c r="D77" s="8" t="s">
        <v>454</v>
      </c>
      <c r="E77" s="96" t="s">
        <v>430</v>
      </c>
      <c r="F77" s="25">
        <v>46248</v>
      </c>
      <c r="G77" s="106">
        <v>49</v>
      </c>
      <c r="H77" s="106" t="s">
        <v>162</v>
      </c>
      <c r="I77" s="106">
        <v>12</v>
      </c>
      <c r="J77" s="26">
        <v>0</v>
      </c>
      <c r="K77" s="110">
        <f t="shared" si="4"/>
        <v>61</v>
      </c>
      <c r="L77" s="114">
        <v>1</v>
      </c>
      <c r="M77" s="110">
        <f t="shared" si="5"/>
        <v>61</v>
      </c>
      <c r="N77" s="8" t="s">
        <v>159</v>
      </c>
      <c r="O77" s="4" t="s">
        <v>160</v>
      </c>
      <c r="P77" s="8" t="s">
        <v>161</v>
      </c>
      <c r="Q77" s="76" t="s">
        <v>73</v>
      </c>
      <c r="R77" s="76" t="s">
        <v>162</v>
      </c>
      <c r="S77" s="76" t="s">
        <v>162</v>
      </c>
      <c r="T77" s="76" t="s">
        <v>73</v>
      </c>
      <c r="U77" s="8"/>
      <c r="V77" s="68" t="s">
        <v>455</v>
      </c>
      <c r="W77" s="68" t="s">
        <v>456</v>
      </c>
      <c r="X77" s="10"/>
    </row>
    <row r="78" spans="1:24" ht="43" customHeight="1">
      <c r="A78" s="88">
        <v>76</v>
      </c>
      <c r="B78" s="56" t="s">
        <v>119</v>
      </c>
      <c r="C78" s="36" t="s">
        <v>156</v>
      </c>
      <c r="D78" s="36" t="s">
        <v>457</v>
      </c>
      <c r="E78" s="95" t="s">
        <v>458</v>
      </c>
      <c r="F78" s="83">
        <v>46248</v>
      </c>
      <c r="G78" s="105">
        <v>52</v>
      </c>
      <c r="H78" s="105" t="s">
        <v>73</v>
      </c>
      <c r="I78" s="105">
        <v>0</v>
      </c>
      <c r="J78" s="84">
        <v>0</v>
      </c>
      <c r="K78" s="110">
        <f t="shared" si="4"/>
        <v>52</v>
      </c>
      <c r="L78" s="113">
        <v>1</v>
      </c>
      <c r="M78" s="110">
        <f t="shared" si="5"/>
        <v>52</v>
      </c>
      <c r="N78" s="36" t="s">
        <v>159</v>
      </c>
      <c r="O78" s="82" t="s">
        <v>160</v>
      </c>
      <c r="P78" s="36" t="s">
        <v>161</v>
      </c>
      <c r="Q78" s="75" t="s">
        <v>73</v>
      </c>
      <c r="R78" s="75" t="s">
        <v>162</v>
      </c>
      <c r="S78" s="75" t="s">
        <v>162</v>
      </c>
      <c r="T78" s="75" t="s">
        <v>73</v>
      </c>
      <c r="U78" s="36"/>
      <c r="V78" s="103" t="s">
        <v>459</v>
      </c>
      <c r="W78" s="103" t="s">
        <v>460</v>
      </c>
      <c r="X78" s="38"/>
    </row>
    <row r="79" spans="1:24" ht="43" customHeight="1">
      <c r="A79" s="87">
        <v>77</v>
      </c>
      <c r="B79" s="57" t="s">
        <v>119</v>
      </c>
      <c r="C79" s="8" t="s">
        <v>156</v>
      </c>
      <c r="D79" s="8" t="s">
        <v>461</v>
      </c>
      <c r="E79" s="96" t="s">
        <v>462</v>
      </c>
      <c r="F79" s="25">
        <v>46248</v>
      </c>
      <c r="G79" s="106">
        <v>31</v>
      </c>
      <c r="H79" s="106" t="s">
        <v>162</v>
      </c>
      <c r="I79" s="106">
        <v>6</v>
      </c>
      <c r="J79" s="26">
        <v>0</v>
      </c>
      <c r="K79" s="110">
        <f t="shared" si="4"/>
        <v>37</v>
      </c>
      <c r="L79" s="114">
        <v>1</v>
      </c>
      <c r="M79" s="110">
        <f t="shared" si="5"/>
        <v>37</v>
      </c>
      <c r="N79" s="8" t="s">
        <v>159</v>
      </c>
      <c r="O79" s="4" t="s">
        <v>160</v>
      </c>
      <c r="P79" s="8" t="s">
        <v>161</v>
      </c>
      <c r="Q79" s="76" t="s">
        <v>73</v>
      </c>
      <c r="R79" s="76" t="s">
        <v>162</v>
      </c>
      <c r="S79" s="76" t="s">
        <v>162</v>
      </c>
      <c r="T79" s="76" t="s">
        <v>73</v>
      </c>
      <c r="U79" s="8"/>
      <c r="V79" s="68" t="s">
        <v>463</v>
      </c>
      <c r="W79" s="68" t="s">
        <v>464</v>
      </c>
      <c r="X79" s="10"/>
    </row>
    <row r="80" spans="1:24" ht="43" customHeight="1">
      <c r="A80" s="88">
        <v>78</v>
      </c>
      <c r="B80" s="92" t="s">
        <v>122</v>
      </c>
      <c r="C80" s="82" t="s">
        <v>156</v>
      </c>
      <c r="D80" s="82" t="s">
        <v>465</v>
      </c>
      <c r="E80" s="97" t="s">
        <v>466</v>
      </c>
      <c r="F80" s="85" t="s">
        <v>467</v>
      </c>
      <c r="G80" s="107">
        <v>64.400000000000006</v>
      </c>
      <c r="H80" s="107" t="s">
        <v>73</v>
      </c>
      <c r="I80" s="107"/>
      <c r="J80" s="107">
        <v>0</v>
      </c>
      <c r="K80" s="109">
        <f t="shared" ref="K80:K126" si="6">IF(OR(G80="",G80=0),"",G80+IF(I80="",0,I80)+IF(J80="",0,J80))</f>
        <v>64.400000000000006</v>
      </c>
      <c r="L80" s="115">
        <v>1</v>
      </c>
      <c r="M80" s="109">
        <f t="shared" ref="M80:M126" si="7">IF(OR(K80="",L80=0),"",K80/L80)</f>
        <v>64.400000000000006</v>
      </c>
      <c r="N80" s="36" t="s">
        <v>159</v>
      </c>
      <c r="O80" s="82" t="s">
        <v>160</v>
      </c>
      <c r="P80" s="36" t="s">
        <v>161</v>
      </c>
      <c r="Q80" s="117" t="s">
        <v>73</v>
      </c>
      <c r="R80" s="75" t="s">
        <v>162</v>
      </c>
      <c r="S80" s="117" t="s">
        <v>162</v>
      </c>
      <c r="T80" s="75" t="s">
        <v>73</v>
      </c>
      <c r="U80" s="36"/>
      <c r="V80" s="103" t="s">
        <v>468</v>
      </c>
      <c r="W80" s="103" t="s">
        <v>469</v>
      </c>
      <c r="X80" s="38"/>
    </row>
    <row r="81" spans="1:24" ht="43" customHeight="1">
      <c r="A81" s="87">
        <v>79</v>
      </c>
      <c r="B81" s="55" t="s">
        <v>122</v>
      </c>
      <c r="C81" s="4" t="s">
        <v>156</v>
      </c>
      <c r="D81" s="4" t="s">
        <v>470</v>
      </c>
      <c r="E81" s="98" t="s">
        <v>471</v>
      </c>
      <c r="F81" s="23" t="s">
        <v>467</v>
      </c>
      <c r="G81" s="104">
        <v>40</v>
      </c>
      <c r="H81" s="104" t="s">
        <v>162</v>
      </c>
      <c r="I81" s="104">
        <v>12</v>
      </c>
      <c r="J81" s="104">
        <v>0</v>
      </c>
      <c r="K81" s="109">
        <f t="shared" si="6"/>
        <v>52</v>
      </c>
      <c r="L81" s="112">
        <v>1</v>
      </c>
      <c r="M81" s="109">
        <f t="shared" si="7"/>
        <v>52</v>
      </c>
      <c r="N81" s="8" t="s">
        <v>159</v>
      </c>
      <c r="O81" s="4" t="s">
        <v>160</v>
      </c>
      <c r="P81" s="8" t="s">
        <v>161</v>
      </c>
      <c r="Q81" s="74" t="s">
        <v>73</v>
      </c>
      <c r="R81" s="76" t="s">
        <v>162</v>
      </c>
      <c r="S81" s="74" t="s">
        <v>162</v>
      </c>
      <c r="T81" s="76" t="s">
        <v>73</v>
      </c>
      <c r="U81" s="8"/>
      <c r="V81" s="68" t="s">
        <v>472</v>
      </c>
      <c r="W81" s="68" t="s">
        <v>473</v>
      </c>
      <c r="X81" s="10"/>
    </row>
    <row r="82" spans="1:24" ht="43" customHeight="1">
      <c r="A82" s="88">
        <v>80</v>
      </c>
      <c r="B82" s="92" t="s">
        <v>122</v>
      </c>
      <c r="C82" s="82" t="s">
        <v>156</v>
      </c>
      <c r="D82" s="82" t="s">
        <v>474</v>
      </c>
      <c r="E82" s="97" t="s">
        <v>475</v>
      </c>
      <c r="F82" s="85" t="s">
        <v>467</v>
      </c>
      <c r="G82" s="107">
        <v>50</v>
      </c>
      <c r="H82" s="107" t="s">
        <v>162</v>
      </c>
      <c r="I82" s="107">
        <v>7</v>
      </c>
      <c r="J82" s="107">
        <v>0</v>
      </c>
      <c r="K82" s="109">
        <f t="shared" si="6"/>
        <v>57</v>
      </c>
      <c r="L82" s="115">
        <v>1</v>
      </c>
      <c r="M82" s="109">
        <f t="shared" si="7"/>
        <v>57</v>
      </c>
      <c r="N82" s="36" t="s">
        <v>159</v>
      </c>
      <c r="O82" s="82" t="s">
        <v>160</v>
      </c>
      <c r="P82" s="36" t="s">
        <v>161</v>
      </c>
      <c r="Q82" s="117" t="s">
        <v>73</v>
      </c>
      <c r="R82" s="75" t="s">
        <v>162</v>
      </c>
      <c r="S82" s="117" t="s">
        <v>162</v>
      </c>
      <c r="T82" s="75" t="s">
        <v>73</v>
      </c>
      <c r="U82" s="36"/>
      <c r="V82" s="103" t="s">
        <v>476</v>
      </c>
      <c r="W82" s="103" t="s">
        <v>477</v>
      </c>
      <c r="X82" s="38"/>
    </row>
    <row r="83" spans="1:24" ht="43" customHeight="1">
      <c r="A83" s="87">
        <v>81</v>
      </c>
      <c r="B83" s="55" t="s">
        <v>122</v>
      </c>
      <c r="C83" s="4" t="s">
        <v>156</v>
      </c>
      <c r="D83" s="4" t="s">
        <v>478</v>
      </c>
      <c r="E83" s="98" t="s">
        <v>479</v>
      </c>
      <c r="F83" s="23" t="s">
        <v>467</v>
      </c>
      <c r="G83" s="104">
        <v>75</v>
      </c>
      <c r="H83" s="104" t="s">
        <v>73</v>
      </c>
      <c r="I83" s="104"/>
      <c r="J83" s="104">
        <v>0</v>
      </c>
      <c r="K83" s="109">
        <f t="shared" si="6"/>
        <v>75</v>
      </c>
      <c r="L83" s="112">
        <v>1</v>
      </c>
      <c r="M83" s="109">
        <f t="shared" si="7"/>
        <v>75</v>
      </c>
      <c r="N83" s="8" t="s">
        <v>159</v>
      </c>
      <c r="O83" s="4" t="s">
        <v>160</v>
      </c>
      <c r="P83" s="8" t="s">
        <v>161</v>
      </c>
      <c r="Q83" s="74" t="s">
        <v>73</v>
      </c>
      <c r="R83" s="76" t="s">
        <v>162</v>
      </c>
      <c r="S83" s="74" t="s">
        <v>162</v>
      </c>
      <c r="T83" s="76" t="s">
        <v>73</v>
      </c>
      <c r="U83" s="8"/>
      <c r="V83" s="68" t="s">
        <v>480</v>
      </c>
      <c r="W83" s="68" t="s">
        <v>481</v>
      </c>
      <c r="X83" s="10"/>
    </row>
    <row r="84" spans="1:24" ht="43" customHeight="1">
      <c r="A84" s="88">
        <v>82</v>
      </c>
      <c r="B84" s="92" t="s">
        <v>127</v>
      </c>
      <c r="C84" s="82" t="s">
        <v>156</v>
      </c>
      <c r="D84" s="82" t="s">
        <v>482</v>
      </c>
      <c r="E84" s="97" t="s">
        <v>483</v>
      </c>
      <c r="F84" s="85" t="s">
        <v>467</v>
      </c>
      <c r="G84" s="107">
        <v>35</v>
      </c>
      <c r="H84" s="107" t="s">
        <v>73</v>
      </c>
      <c r="I84" s="107"/>
      <c r="J84" s="107">
        <v>0</v>
      </c>
      <c r="K84" s="109">
        <f t="shared" si="6"/>
        <v>35</v>
      </c>
      <c r="L84" s="115">
        <v>1</v>
      </c>
      <c r="M84" s="109">
        <f t="shared" si="7"/>
        <v>35</v>
      </c>
      <c r="N84" s="36" t="s">
        <v>159</v>
      </c>
      <c r="O84" s="82" t="s">
        <v>160</v>
      </c>
      <c r="P84" s="36" t="s">
        <v>161</v>
      </c>
      <c r="Q84" s="117" t="s">
        <v>73</v>
      </c>
      <c r="R84" s="75" t="s">
        <v>162</v>
      </c>
      <c r="S84" s="117" t="s">
        <v>162</v>
      </c>
      <c r="T84" s="75" t="s">
        <v>73</v>
      </c>
      <c r="U84" s="36"/>
      <c r="V84" s="103" t="s">
        <v>484</v>
      </c>
      <c r="W84" s="103" t="s">
        <v>485</v>
      </c>
      <c r="X84" s="38"/>
    </row>
    <row r="85" spans="1:24" ht="43" customHeight="1">
      <c r="A85" s="87">
        <v>83</v>
      </c>
      <c r="B85" s="55" t="s">
        <v>125</v>
      </c>
      <c r="C85" s="4" t="s">
        <v>156</v>
      </c>
      <c r="D85" s="4" t="s">
        <v>486</v>
      </c>
      <c r="E85" s="98" t="s">
        <v>487</v>
      </c>
      <c r="F85" s="23" t="s">
        <v>467</v>
      </c>
      <c r="G85" s="104">
        <v>23</v>
      </c>
      <c r="H85" s="104" t="s">
        <v>162</v>
      </c>
      <c r="I85" s="104">
        <v>12</v>
      </c>
      <c r="J85" s="104">
        <v>0</v>
      </c>
      <c r="K85" s="109">
        <f t="shared" si="6"/>
        <v>35</v>
      </c>
      <c r="L85" s="112">
        <v>1</v>
      </c>
      <c r="M85" s="109">
        <f t="shared" si="7"/>
        <v>35</v>
      </c>
      <c r="N85" s="8" t="s">
        <v>159</v>
      </c>
      <c r="O85" s="4" t="s">
        <v>160</v>
      </c>
      <c r="P85" s="8" t="s">
        <v>161</v>
      </c>
      <c r="Q85" s="74" t="s">
        <v>73</v>
      </c>
      <c r="R85" s="76" t="s">
        <v>162</v>
      </c>
      <c r="S85" s="74" t="s">
        <v>162</v>
      </c>
      <c r="T85" s="76" t="s">
        <v>73</v>
      </c>
      <c r="U85" s="8"/>
      <c r="V85" s="68" t="s">
        <v>488</v>
      </c>
      <c r="W85" s="68" t="s">
        <v>489</v>
      </c>
      <c r="X85" s="10"/>
    </row>
    <row r="86" spans="1:24" ht="43" customHeight="1">
      <c r="A86" s="88">
        <v>84</v>
      </c>
      <c r="B86" s="92" t="s">
        <v>127</v>
      </c>
      <c r="C86" s="82" t="s">
        <v>156</v>
      </c>
      <c r="D86" s="82" t="s">
        <v>490</v>
      </c>
      <c r="E86" s="97" t="s">
        <v>491</v>
      </c>
      <c r="F86" s="85" t="s">
        <v>467</v>
      </c>
      <c r="G86" s="107">
        <v>25</v>
      </c>
      <c r="H86" s="107" t="s">
        <v>162</v>
      </c>
      <c r="I86" s="107">
        <v>4</v>
      </c>
      <c r="J86" s="107">
        <v>0</v>
      </c>
      <c r="K86" s="109">
        <f t="shared" si="6"/>
        <v>29</v>
      </c>
      <c r="L86" s="115">
        <v>1</v>
      </c>
      <c r="M86" s="109">
        <f t="shared" si="7"/>
        <v>29</v>
      </c>
      <c r="N86" s="36" t="s">
        <v>159</v>
      </c>
      <c r="O86" s="82" t="s">
        <v>160</v>
      </c>
      <c r="P86" s="36" t="s">
        <v>161</v>
      </c>
      <c r="Q86" s="117" t="s">
        <v>73</v>
      </c>
      <c r="R86" s="75" t="s">
        <v>162</v>
      </c>
      <c r="S86" s="117" t="s">
        <v>162</v>
      </c>
      <c r="T86" s="75" t="s">
        <v>73</v>
      </c>
      <c r="U86" s="36"/>
      <c r="V86" s="103" t="s">
        <v>492</v>
      </c>
      <c r="W86" s="103" t="s">
        <v>493</v>
      </c>
      <c r="X86" s="38"/>
    </row>
    <row r="87" spans="1:24" ht="43" customHeight="1">
      <c r="A87" s="87">
        <v>85</v>
      </c>
      <c r="B87" s="55" t="s">
        <v>116</v>
      </c>
      <c r="C87" s="4" t="s">
        <v>156</v>
      </c>
      <c r="D87" s="4" t="s">
        <v>494</v>
      </c>
      <c r="E87" s="98" t="s">
        <v>495</v>
      </c>
      <c r="F87" s="23" t="s">
        <v>467</v>
      </c>
      <c r="G87" s="104">
        <v>56</v>
      </c>
      <c r="H87" s="104" t="s">
        <v>73</v>
      </c>
      <c r="I87" s="104"/>
      <c r="J87" s="104">
        <v>0</v>
      </c>
      <c r="K87" s="109">
        <f t="shared" si="6"/>
        <v>56</v>
      </c>
      <c r="L87" s="112">
        <v>1</v>
      </c>
      <c r="M87" s="109">
        <f t="shared" si="7"/>
        <v>56</v>
      </c>
      <c r="N87" s="8" t="s">
        <v>159</v>
      </c>
      <c r="O87" s="4" t="s">
        <v>160</v>
      </c>
      <c r="P87" s="8" t="s">
        <v>161</v>
      </c>
      <c r="Q87" s="74" t="s">
        <v>73</v>
      </c>
      <c r="R87" s="76" t="s">
        <v>162</v>
      </c>
      <c r="S87" s="74" t="s">
        <v>162</v>
      </c>
      <c r="T87" s="76" t="s">
        <v>73</v>
      </c>
      <c r="U87" s="8"/>
      <c r="V87" s="68" t="s">
        <v>496</v>
      </c>
      <c r="W87" s="68" t="s">
        <v>497</v>
      </c>
      <c r="X87" s="10"/>
    </row>
    <row r="88" spans="1:24" ht="43" customHeight="1">
      <c r="A88" s="88">
        <v>86</v>
      </c>
      <c r="B88" s="92" t="s">
        <v>116</v>
      </c>
      <c r="C88" s="82" t="s">
        <v>156</v>
      </c>
      <c r="D88" s="82" t="s">
        <v>498</v>
      </c>
      <c r="E88" s="97" t="s">
        <v>499</v>
      </c>
      <c r="F88" s="85" t="s">
        <v>467</v>
      </c>
      <c r="G88" s="107">
        <v>67</v>
      </c>
      <c r="H88" s="107" t="s">
        <v>162</v>
      </c>
      <c r="I88" s="107">
        <v>12</v>
      </c>
      <c r="J88" s="107">
        <v>0</v>
      </c>
      <c r="K88" s="109">
        <f t="shared" si="6"/>
        <v>79</v>
      </c>
      <c r="L88" s="115">
        <v>1</v>
      </c>
      <c r="M88" s="109">
        <f t="shared" si="7"/>
        <v>79</v>
      </c>
      <c r="N88" s="36" t="s">
        <v>159</v>
      </c>
      <c r="O88" s="82" t="s">
        <v>160</v>
      </c>
      <c r="P88" s="36" t="s">
        <v>161</v>
      </c>
      <c r="Q88" s="117" t="s">
        <v>73</v>
      </c>
      <c r="R88" s="75" t="s">
        <v>162</v>
      </c>
      <c r="S88" s="117" t="s">
        <v>162</v>
      </c>
      <c r="T88" s="75" t="s">
        <v>73</v>
      </c>
      <c r="U88" s="36"/>
      <c r="V88" s="103" t="s">
        <v>500</v>
      </c>
      <c r="W88" s="103" t="s">
        <v>501</v>
      </c>
      <c r="X88" s="38"/>
    </row>
    <row r="89" spans="1:24" ht="43" customHeight="1">
      <c r="A89" s="87">
        <v>87</v>
      </c>
      <c r="B89" s="55" t="s">
        <v>116</v>
      </c>
      <c r="C89" s="4" t="s">
        <v>156</v>
      </c>
      <c r="D89" s="4" t="s">
        <v>502</v>
      </c>
      <c r="E89" s="98" t="s">
        <v>503</v>
      </c>
      <c r="F89" s="23" t="s">
        <v>467</v>
      </c>
      <c r="G89" s="104">
        <v>57</v>
      </c>
      <c r="H89" s="104" t="s">
        <v>73</v>
      </c>
      <c r="I89" s="104"/>
      <c r="J89" s="104">
        <v>0</v>
      </c>
      <c r="K89" s="109">
        <f t="shared" si="6"/>
        <v>57</v>
      </c>
      <c r="L89" s="112">
        <v>1</v>
      </c>
      <c r="M89" s="109">
        <f t="shared" si="7"/>
        <v>57</v>
      </c>
      <c r="N89" s="8" t="s">
        <v>159</v>
      </c>
      <c r="O89" s="4" t="s">
        <v>160</v>
      </c>
      <c r="P89" s="8" t="s">
        <v>161</v>
      </c>
      <c r="Q89" s="74" t="s">
        <v>73</v>
      </c>
      <c r="R89" s="76" t="s">
        <v>162</v>
      </c>
      <c r="S89" s="74" t="s">
        <v>162</v>
      </c>
      <c r="T89" s="76" t="s">
        <v>73</v>
      </c>
      <c r="U89" s="8"/>
      <c r="V89" s="68" t="s">
        <v>504</v>
      </c>
      <c r="W89" s="68" t="s">
        <v>505</v>
      </c>
      <c r="X89" s="10"/>
    </row>
    <row r="90" spans="1:24" ht="43" customHeight="1">
      <c r="A90" s="88">
        <v>88</v>
      </c>
      <c r="B90" s="92" t="s">
        <v>116</v>
      </c>
      <c r="C90" s="82" t="s">
        <v>156</v>
      </c>
      <c r="D90" s="82" t="s">
        <v>506</v>
      </c>
      <c r="E90" s="97" t="s">
        <v>507</v>
      </c>
      <c r="F90" s="85" t="s">
        <v>467</v>
      </c>
      <c r="G90" s="107">
        <v>55</v>
      </c>
      <c r="H90" s="107" t="s">
        <v>162</v>
      </c>
      <c r="I90" s="107">
        <v>6</v>
      </c>
      <c r="J90" s="107">
        <v>0</v>
      </c>
      <c r="K90" s="109">
        <f t="shared" si="6"/>
        <v>61</v>
      </c>
      <c r="L90" s="115">
        <v>1</v>
      </c>
      <c r="M90" s="109">
        <f t="shared" si="7"/>
        <v>61</v>
      </c>
      <c r="N90" s="36" t="s">
        <v>159</v>
      </c>
      <c r="O90" s="82" t="s">
        <v>160</v>
      </c>
      <c r="P90" s="36" t="s">
        <v>161</v>
      </c>
      <c r="Q90" s="117" t="s">
        <v>73</v>
      </c>
      <c r="R90" s="75" t="s">
        <v>162</v>
      </c>
      <c r="S90" s="117" t="s">
        <v>162</v>
      </c>
      <c r="T90" s="75" t="s">
        <v>73</v>
      </c>
      <c r="U90" s="36"/>
      <c r="V90" s="103" t="s">
        <v>508</v>
      </c>
      <c r="W90" s="103" t="s">
        <v>509</v>
      </c>
      <c r="X90" s="38"/>
    </row>
    <row r="91" spans="1:24" ht="43" customHeight="1">
      <c r="A91" s="87">
        <v>89</v>
      </c>
      <c r="B91" s="55" t="s">
        <v>116</v>
      </c>
      <c r="C91" s="4" t="s">
        <v>156</v>
      </c>
      <c r="D91" s="4" t="s">
        <v>498</v>
      </c>
      <c r="E91" s="98" t="s">
        <v>510</v>
      </c>
      <c r="F91" s="23" t="s">
        <v>467</v>
      </c>
      <c r="G91" s="104">
        <v>58</v>
      </c>
      <c r="H91" s="104" t="s">
        <v>73</v>
      </c>
      <c r="I91" s="104"/>
      <c r="J91" s="104">
        <v>0</v>
      </c>
      <c r="K91" s="109">
        <f t="shared" si="6"/>
        <v>58</v>
      </c>
      <c r="L91" s="112">
        <v>1</v>
      </c>
      <c r="M91" s="109">
        <f t="shared" si="7"/>
        <v>58</v>
      </c>
      <c r="N91" s="8" t="s">
        <v>159</v>
      </c>
      <c r="O91" s="4" t="s">
        <v>160</v>
      </c>
      <c r="P91" s="8" t="s">
        <v>161</v>
      </c>
      <c r="Q91" s="74" t="s">
        <v>73</v>
      </c>
      <c r="R91" s="76" t="s">
        <v>162</v>
      </c>
      <c r="S91" s="74" t="s">
        <v>162</v>
      </c>
      <c r="T91" s="76" t="s">
        <v>73</v>
      </c>
      <c r="U91" s="8"/>
      <c r="V91" s="68" t="s">
        <v>511</v>
      </c>
      <c r="W91" s="68" t="s">
        <v>512</v>
      </c>
      <c r="X91" s="10"/>
    </row>
    <row r="92" spans="1:24" ht="43" customHeight="1">
      <c r="A92" s="88">
        <v>90</v>
      </c>
      <c r="B92" s="92" t="s">
        <v>125</v>
      </c>
      <c r="C92" s="82" t="s">
        <v>156</v>
      </c>
      <c r="D92" s="82" t="s">
        <v>513</v>
      </c>
      <c r="E92" s="97" t="s">
        <v>514</v>
      </c>
      <c r="F92" s="85" t="s">
        <v>467</v>
      </c>
      <c r="G92" s="107">
        <v>29</v>
      </c>
      <c r="H92" s="107" t="s">
        <v>73</v>
      </c>
      <c r="I92" s="107"/>
      <c r="J92" s="107">
        <v>0</v>
      </c>
      <c r="K92" s="109">
        <f t="shared" si="6"/>
        <v>29</v>
      </c>
      <c r="L92" s="115">
        <v>1</v>
      </c>
      <c r="M92" s="109">
        <f t="shared" si="7"/>
        <v>29</v>
      </c>
      <c r="N92" s="36" t="s">
        <v>159</v>
      </c>
      <c r="O92" s="82" t="s">
        <v>160</v>
      </c>
      <c r="P92" s="36" t="s">
        <v>161</v>
      </c>
      <c r="Q92" s="117" t="s">
        <v>73</v>
      </c>
      <c r="R92" s="75" t="s">
        <v>162</v>
      </c>
      <c r="S92" s="117" t="s">
        <v>162</v>
      </c>
      <c r="T92" s="75" t="s">
        <v>73</v>
      </c>
      <c r="U92" s="36"/>
      <c r="V92" s="103" t="s">
        <v>515</v>
      </c>
      <c r="W92" s="103" t="s">
        <v>516</v>
      </c>
      <c r="X92" s="38"/>
    </row>
    <row r="93" spans="1:24" ht="43" customHeight="1">
      <c r="A93" s="87">
        <v>91</v>
      </c>
      <c r="B93" s="55" t="s">
        <v>125</v>
      </c>
      <c r="C93" s="4" t="s">
        <v>156</v>
      </c>
      <c r="D93" s="4" t="s">
        <v>517</v>
      </c>
      <c r="E93" s="98" t="s">
        <v>518</v>
      </c>
      <c r="F93" s="23" t="s">
        <v>467</v>
      </c>
      <c r="G93" s="104">
        <v>35</v>
      </c>
      <c r="H93" s="104" t="s">
        <v>162</v>
      </c>
      <c r="I93" s="104">
        <v>6</v>
      </c>
      <c r="J93" s="104">
        <v>0</v>
      </c>
      <c r="K93" s="109">
        <f t="shared" si="6"/>
        <v>41</v>
      </c>
      <c r="L93" s="112">
        <v>1</v>
      </c>
      <c r="M93" s="109">
        <f t="shared" si="7"/>
        <v>41</v>
      </c>
      <c r="N93" s="8" t="s">
        <v>159</v>
      </c>
      <c r="O93" s="4" t="s">
        <v>160</v>
      </c>
      <c r="P93" s="8" t="s">
        <v>161</v>
      </c>
      <c r="Q93" s="74" t="s">
        <v>73</v>
      </c>
      <c r="R93" s="76" t="s">
        <v>162</v>
      </c>
      <c r="S93" s="74" t="s">
        <v>162</v>
      </c>
      <c r="T93" s="76" t="s">
        <v>73</v>
      </c>
      <c r="U93" s="8"/>
      <c r="V93" s="68" t="s">
        <v>519</v>
      </c>
      <c r="W93" s="68" t="s">
        <v>520</v>
      </c>
      <c r="X93" s="10"/>
    </row>
    <row r="94" spans="1:24" ht="43" customHeight="1">
      <c r="A94" s="88">
        <v>92</v>
      </c>
      <c r="B94" s="92" t="s">
        <v>129</v>
      </c>
      <c r="C94" s="82" t="s">
        <v>156</v>
      </c>
      <c r="D94" s="82" t="s">
        <v>521</v>
      </c>
      <c r="E94" s="97" t="s">
        <v>522</v>
      </c>
      <c r="F94" s="85" t="s">
        <v>467</v>
      </c>
      <c r="G94" s="107">
        <v>28</v>
      </c>
      <c r="H94" s="107" t="s">
        <v>73</v>
      </c>
      <c r="I94" s="107"/>
      <c r="J94" s="107">
        <v>0</v>
      </c>
      <c r="K94" s="109">
        <f t="shared" si="6"/>
        <v>28</v>
      </c>
      <c r="L94" s="115">
        <v>1</v>
      </c>
      <c r="M94" s="109">
        <f t="shared" si="7"/>
        <v>28</v>
      </c>
      <c r="N94" s="36" t="s">
        <v>159</v>
      </c>
      <c r="O94" s="82" t="s">
        <v>160</v>
      </c>
      <c r="P94" s="36" t="s">
        <v>161</v>
      </c>
      <c r="Q94" s="117" t="s">
        <v>73</v>
      </c>
      <c r="R94" s="75" t="s">
        <v>162</v>
      </c>
      <c r="S94" s="117" t="s">
        <v>162</v>
      </c>
      <c r="T94" s="75" t="s">
        <v>73</v>
      </c>
      <c r="U94" s="36"/>
      <c r="V94" s="103" t="s">
        <v>523</v>
      </c>
      <c r="W94" s="103" t="s">
        <v>524</v>
      </c>
      <c r="X94" s="38"/>
    </row>
    <row r="95" spans="1:24" ht="43" customHeight="1">
      <c r="A95" s="87">
        <v>93</v>
      </c>
      <c r="B95" s="55" t="s">
        <v>122</v>
      </c>
      <c r="C95" s="4" t="s">
        <v>156</v>
      </c>
      <c r="D95" s="4" t="s">
        <v>525</v>
      </c>
      <c r="E95" s="98" t="s">
        <v>526</v>
      </c>
      <c r="F95" s="23" t="s">
        <v>467</v>
      </c>
      <c r="G95" s="104">
        <v>50</v>
      </c>
      <c r="H95" s="104" t="s">
        <v>73</v>
      </c>
      <c r="I95" s="104"/>
      <c r="J95" s="104">
        <v>0</v>
      </c>
      <c r="K95" s="109">
        <f t="shared" si="6"/>
        <v>50</v>
      </c>
      <c r="L95" s="112">
        <v>1</v>
      </c>
      <c r="M95" s="109">
        <f t="shared" si="7"/>
        <v>50</v>
      </c>
      <c r="N95" s="8" t="s">
        <v>159</v>
      </c>
      <c r="O95" s="4" t="s">
        <v>160</v>
      </c>
      <c r="P95" s="8" t="s">
        <v>161</v>
      </c>
      <c r="Q95" s="74" t="s">
        <v>73</v>
      </c>
      <c r="R95" s="76" t="s">
        <v>162</v>
      </c>
      <c r="S95" s="74" t="s">
        <v>162</v>
      </c>
      <c r="T95" s="76" t="s">
        <v>73</v>
      </c>
      <c r="U95" s="8"/>
      <c r="V95" s="68" t="s">
        <v>527</v>
      </c>
      <c r="W95" s="68" t="s">
        <v>528</v>
      </c>
      <c r="X95" s="10"/>
    </row>
    <row r="96" spans="1:24" ht="43" customHeight="1">
      <c r="A96" s="88">
        <v>94</v>
      </c>
      <c r="B96" s="92" t="s">
        <v>127</v>
      </c>
      <c r="C96" s="82" t="s">
        <v>156</v>
      </c>
      <c r="D96" s="82" t="s">
        <v>529</v>
      </c>
      <c r="E96" s="97" t="s">
        <v>530</v>
      </c>
      <c r="F96" s="85" t="s">
        <v>467</v>
      </c>
      <c r="G96" s="107">
        <v>26</v>
      </c>
      <c r="H96" s="107" t="s">
        <v>73</v>
      </c>
      <c r="I96" s="107">
        <v>0</v>
      </c>
      <c r="J96" s="107">
        <v>0</v>
      </c>
      <c r="K96" s="109">
        <f t="shared" si="6"/>
        <v>26</v>
      </c>
      <c r="L96" s="115">
        <v>1</v>
      </c>
      <c r="M96" s="109">
        <f t="shared" si="7"/>
        <v>26</v>
      </c>
      <c r="N96" s="36" t="s">
        <v>159</v>
      </c>
      <c r="O96" s="82" t="s">
        <v>160</v>
      </c>
      <c r="P96" s="36" t="s">
        <v>161</v>
      </c>
      <c r="Q96" s="117" t="s">
        <v>73</v>
      </c>
      <c r="R96" s="75" t="s">
        <v>162</v>
      </c>
      <c r="S96" s="117" t="s">
        <v>162</v>
      </c>
      <c r="T96" s="75" t="s">
        <v>73</v>
      </c>
      <c r="U96" s="36"/>
      <c r="V96" s="103" t="s">
        <v>531</v>
      </c>
      <c r="W96" s="103" t="s">
        <v>532</v>
      </c>
      <c r="X96" s="38"/>
    </row>
    <row r="97" spans="1:24" ht="43" customHeight="1">
      <c r="A97" s="87">
        <v>95</v>
      </c>
      <c r="B97" s="55" t="s">
        <v>127</v>
      </c>
      <c r="C97" s="4" t="s">
        <v>156</v>
      </c>
      <c r="D97" s="4" t="s">
        <v>533</v>
      </c>
      <c r="E97" s="98" t="s">
        <v>534</v>
      </c>
      <c r="F97" s="23" t="s">
        <v>467</v>
      </c>
      <c r="G97" s="104">
        <v>25</v>
      </c>
      <c r="H97" s="104" t="s">
        <v>162</v>
      </c>
      <c r="I97" s="104">
        <v>7</v>
      </c>
      <c r="J97" s="104">
        <v>0</v>
      </c>
      <c r="K97" s="109">
        <f t="shared" si="6"/>
        <v>32</v>
      </c>
      <c r="L97" s="112">
        <v>1</v>
      </c>
      <c r="M97" s="109">
        <f t="shared" si="7"/>
        <v>32</v>
      </c>
      <c r="N97" s="8" t="s">
        <v>159</v>
      </c>
      <c r="O97" s="4" t="s">
        <v>160</v>
      </c>
      <c r="P97" s="8" t="s">
        <v>161</v>
      </c>
      <c r="Q97" s="74" t="s">
        <v>73</v>
      </c>
      <c r="R97" s="76" t="s">
        <v>162</v>
      </c>
      <c r="S97" s="74" t="s">
        <v>162</v>
      </c>
      <c r="T97" s="76" t="s">
        <v>73</v>
      </c>
      <c r="U97" s="8"/>
      <c r="V97" s="68" t="s">
        <v>535</v>
      </c>
      <c r="W97" s="68" t="s">
        <v>536</v>
      </c>
      <c r="X97" s="10"/>
    </row>
    <row r="98" spans="1:24" ht="43" customHeight="1">
      <c r="A98" s="88">
        <v>96</v>
      </c>
      <c r="B98" s="92" t="s">
        <v>127</v>
      </c>
      <c r="C98" s="82" t="s">
        <v>156</v>
      </c>
      <c r="D98" s="82" t="s">
        <v>537</v>
      </c>
      <c r="E98" s="97" t="s">
        <v>538</v>
      </c>
      <c r="F98" s="85" t="s">
        <v>467</v>
      </c>
      <c r="G98" s="107">
        <v>20</v>
      </c>
      <c r="H98" s="107" t="s">
        <v>73</v>
      </c>
      <c r="I98" s="107">
        <v>0</v>
      </c>
      <c r="J98" s="107">
        <v>0</v>
      </c>
      <c r="K98" s="109">
        <f t="shared" si="6"/>
        <v>20</v>
      </c>
      <c r="L98" s="115">
        <v>1</v>
      </c>
      <c r="M98" s="109">
        <f t="shared" si="7"/>
        <v>20</v>
      </c>
      <c r="N98" s="36" t="s">
        <v>159</v>
      </c>
      <c r="O98" s="82" t="s">
        <v>160</v>
      </c>
      <c r="P98" s="36" t="s">
        <v>161</v>
      </c>
      <c r="Q98" s="117" t="s">
        <v>162</v>
      </c>
      <c r="R98" s="75" t="s">
        <v>162</v>
      </c>
      <c r="S98" s="117" t="s">
        <v>162</v>
      </c>
      <c r="T98" s="75" t="s">
        <v>73</v>
      </c>
      <c r="U98" s="36"/>
      <c r="V98" s="103" t="s">
        <v>539</v>
      </c>
      <c r="W98" s="103" t="s">
        <v>540</v>
      </c>
      <c r="X98" s="38"/>
    </row>
    <row r="99" spans="1:24" ht="43" customHeight="1">
      <c r="A99" s="87">
        <v>97</v>
      </c>
      <c r="B99" s="55" t="s">
        <v>122</v>
      </c>
      <c r="C99" s="4" t="s">
        <v>156</v>
      </c>
      <c r="D99" s="4" t="s">
        <v>541</v>
      </c>
      <c r="E99" s="98" t="s">
        <v>542</v>
      </c>
      <c r="F99" s="23" t="s">
        <v>467</v>
      </c>
      <c r="G99" s="104">
        <v>60</v>
      </c>
      <c r="H99" s="104" t="s">
        <v>73</v>
      </c>
      <c r="I99" s="104"/>
      <c r="J99" s="104">
        <v>0</v>
      </c>
      <c r="K99" s="109">
        <f t="shared" si="6"/>
        <v>60</v>
      </c>
      <c r="L99" s="112">
        <v>1</v>
      </c>
      <c r="M99" s="109">
        <f t="shared" si="7"/>
        <v>60</v>
      </c>
      <c r="N99" s="8" t="s">
        <v>159</v>
      </c>
      <c r="O99" s="4" t="s">
        <v>160</v>
      </c>
      <c r="P99" s="8" t="s">
        <v>161</v>
      </c>
      <c r="Q99" s="74" t="s">
        <v>73</v>
      </c>
      <c r="R99" s="76" t="s">
        <v>162</v>
      </c>
      <c r="S99" s="74" t="s">
        <v>162</v>
      </c>
      <c r="T99" s="76" t="s">
        <v>73</v>
      </c>
      <c r="U99" s="8"/>
      <c r="V99" s="68" t="s">
        <v>543</v>
      </c>
      <c r="W99" s="68" t="s">
        <v>544</v>
      </c>
      <c r="X99" s="10"/>
    </row>
    <row r="100" spans="1:24" ht="43" customHeight="1">
      <c r="A100" s="88">
        <v>98</v>
      </c>
      <c r="B100" s="92" t="s">
        <v>131</v>
      </c>
      <c r="C100" s="82" t="s">
        <v>156</v>
      </c>
      <c r="D100" s="82" t="s">
        <v>545</v>
      </c>
      <c r="E100" s="97" t="s">
        <v>546</v>
      </c>
      <c r="F100" s="85" t="s">
        <v>467</v>
      </c>
      <c r="G100" s="107"/>
      <c r="H100" s="107"/>
      <c r="I100" s="107"/>
      <c r="J100" s="107">
        <v>0</v>
      </c>
      <c r="K100" s="109" t="str">
        <f t="shared" si="6"/>
        <v/>
      </c>
      <c r="L100" s="115">
        <v>1</v>
      </c>
      <c r="M100" s="109" t="str">
        <f t="shared" si="7"/>
        <v/>
      </c>
      <c r="N100" s="36" t="s">
        <v>159</v>
      </c>
      <c r="O100" s="82" t="s">
        <v>160</v>
      </c>
      <c r="P100" s="36" t="s">
        <v>161</v>
      </c>
      <c r="Q100" s="117" t="s">
        <v>162</v>
      </c>
      <c r="R100" s="75" t="s">
        <v>162</v>
      </c>
      <c r="S100" s="117" t="s">
        <v>162</v>
      </c>
      <c r="T100" s="75" t="s">
        <v>73</v>
      </c>
      <c r="U100" s="36"/>
      <c r="V100" s="103" t="s">
        <v>547</v>
      </c>
      <c r="W100" s="103" t="s">
        <v>548</v>
      </c>
      <c r="X100" s="38"/>
    </row>
    <row r="101" spans="1:24" ht="43" customHeight="1">
      <c r="A101" s="87">
        <v>99</v>
      </c>
      <c r="B101" s="55" t="s">
        <v>127</v>
      </c>
      <c r="C101" s="4" t="s">
        <v>156</v>
      </c>
      <c r="D101" s="4" t="s">
        <v>549</v>
      </c>
      <c r="E101" s="98" t="s">
        <v>550</v>
      </c>
      <c r="F101" s="23" t="s">
        <v>467</v>
      </c>
      <c r="G101" s="104">
        <v>27.4</v>
      </c>
      <c r="H101" s="104" t="s">
        <v>73</v>
      </c>
      <c r="I101" s="104">
        <v>0</v>
      </c>
      <c r="J101" s="104">
        <v>0</v>
      </c>
      <c r="K101" s="109">
        <f t="shared" si="6"/>
        <v>27.4</v>
      </c>
      <c r="L101" s="112">
        <v>1</v>
      </c>
      <c r="M101" s="109">
        <f t="shared" si="7"/>
        <v>27.4</v>
      </c>
      <c r="N101" s="8" t="s">
        <v>159</v>
      </c>
      <c r="O101" s="4" t="s">
        <v>160</v>
      </c>
      <c r="P101" s="8" t="s">
        <v>161</v>
      </c>
      <c r="Q101" s="74" t="s">
        <v>162</v>
      </c>
      <c r="R101" s="76" t="s">
        <v>162</v>
      </c>
      <c r="S101" s="74" t="s">
        <v>162</v>
      </c>
      <c r="T101" s="76" t="s">
        <v>73</v>
      </c>
      <c r="U101" s="8"/>
      <c r="V101" s="68" t="s">
        <v>551</v>
      </c>
      <c r="W101" s="68" t="s">
        <v>552</v>
      </c>
      <c r="X101" s="10"/>
    </row>
    <row r="102" spans="1:24" ht="43" customHeight="1">
      <c r="A102" s="88">
        <v>100</v>
      </c>
      <c r="B102" s="92" t="s">
        <v>122</v>
      </c>
      <c r="C102" s="82" t="s">
        <v>156</v>
      </c>
      <c r="D102" s="82" t="s">
        <v>553</v>
      </c>
      <c r="E102" s="97" t="s">
        <v>554</v>
      </c>
      <c r="F102" s="85" t="s">
        <v>467</v>
      </c>
      <c r="G102" s="107">
        <v>50</v>
      </c>
      <c r="H102" s="107" t="s">
        <v>162</v>
      </c>
      <c r="I102" s="107">
        <v>12</v>
      </c>
      <c r="J102" s="107">
        <v>0</v>
      </c>
      <c r="K102" s="109">
        <f t="shared" si="6"/>
        <v>62</v>
      </c>
      <c r="L102" s="115">
        <v>1</v>
      </c>
      <c r="M102" s="109">
        <f t="shared" si="7"/>
        <v>62</v>
      </c>
      <c r="N102" s="36" t="s">
        <v>159</v>
      </c>
      <c r="O102" s="82" t="s">
        <v>160</v>
      </c>
      <c r="P102" s="36" t="s">
        <v>161</v>
      </c>
      <c r="Q102" s="117" t="s">
        <v>162</v>
      </c>
      <c r="R102" s="75" t="s">
        <v>162</v>
      </c>
      <c r="S102" s="117" t="s">
        <v>162</v>
      </c>
      <c r="T102" s="75" t="s">
        <v>73</v>
      </c>
      <c r="U102" s="36"/>
      <c r="V102" s="103" t="s">
        <v>555</v>
      </c>
      <c r="W102" s="103" t="s">
        <v>556</v>
      </c>
      <c r="X102" s="38"/>
    </row>
    <row r="103" spans="1:24" ht="43" customHeight="1">
      <c r="A103" s="87">
        <v>101</v>
      </c>
      <c r="B103" s="55" t="s">
        <v>116</v>
      </c>
      <c r="C103" s="4" t="s">
        <v>156</v>
      </c>
      <c r="D103" s="4" t="s">
        <v>557</v>
      </c>
      <c r="E103" s="98" t="s">
        <v>558</v>
      </c>
      <c r="F103" s="23" t="s">
        <v>467</v>
      </c>
      <c r="G103" s="104">
        <v>65</v>
      </c>
      <c r="H103" s="104" t="s">
        <v>73</v>
      </c>
      <c r="I103" s="104"/>
      <c r="J103" s="104">
        <v>0</v>
      </c>
      <c r="K103" s="109">
        <f t="shared" si="6"/>
        <v>65</v>
      </c>
      <c r="L103" s="112">
        <v>1</v>
      </c>
      <c r="M103" s="109">
        <f t="shared" si="7"/>
        <v>65</v>
      </c>
      <c r="N103" s="8" t="s">
        <v>159</v>
      </c>
      <c r="O103" s="4" t="s">
        <v>160</v>
      </c>
      <c r="P103" s="8" t="s">
        <v>161</v>
      </c>
      <c r="Q103" s="74" t="s">
        <v>162</v>
      </c>
      <c r="R103" s="76" t="s">
        <v>162</v>
      </c>
      <c r="S103" s="74" t="s">
        <v>162</v>
      </c>
      <c r="T103" s="76" t="s">
        <v>73</v>
      </c>
      <c r="U103" s="8"/>
      <c r="V103" s="68" t="s">
        <v>559</v>
      </c>
      <c r="W103" s="68" t="s">
        <v>560</v>
      </c>
      <c r="X103" s="10"/>
    </row>
    <row r="104" spans="1:24" ht="43" customHeight="1">
      <c r="A104" s="88">
        <v>102</v>
      </c>
      <c r="B104" s="92" t="s">
        <v>116</v>
      </c>
      <c r="C104" s="82" t="s">
        <v>156</v>
      </c>
      <c r="D104" s="82" t="s">
        <v>561</v>
      </c>
      <c r="E104" s="97" t="s">
        <v>562</v>
      </c>
      <c r="F104" s="85" t="s">
        <v>467</v>
      </c>
      <c r="G104" s="107">
        <v>45</v>
      </c>
      <c r="H104" s="107" t="s">
        <v>73</v>
      </c>
      <c r="I104" s="107"/>
      <c r="J104" s="107">
        <v>0</v>
      </c>
      <c r="K104" s="109">
        <f t="shared" si="6"/>
        <v>45</v>
      </c>
      <c r="L104" s="115">
        <v>1</v>
      </c>
      <c r="M104" s="109">
        <f t="shared" si="7"/>
        <v>45</v>
      </c>
      <c r="N104" s="36" t="s">
        <v>159</v>
      </c>
      <c r="O104" s="82" t="s">
        <v>160</v>
      </c>
      <c r="P104" s="36" t="s">
        <v>161</v>
      </c>
      <c r="Q104" s="117" t="s">
        <v>162</v>
      </c>
      <c r="R104" s="75" t="s">
        <v>162</v>
      </c>
      <c r="S104" s="117" t="s">
        <v>162</v>
      </c>
      <c r="T104" s="75" t="s">
        <v>73</v>
      </c>
      <c r="U104" s="36"/>
      <c r="V104" s="103" t="s">
        <v>563</v>
      </c>
      <c r="W104" s="103" t="s">
        <v>564</v>
      </c>
      <c r="X104" s="38"/>
    </row>
    <row r="105" spans="1:24" ht="43" customHeight="1">
      <c r="A105" s="87">
        <v>103</v>
      </c>
      <c r="B105" s="55" t="s">
        <v>119</v>
      </c>
      <c r="C105" s="4" t="s">
        <v>156</v>
      </c>
      <c r="D105" s="4" t="s">
        <v>565</v>
      </c>
      <c r="E105" s="98" t="s">
        <v>566</v>
      </c>
      <c r="F105" s="23" t="s">
        <v>567</v>
      </c>
      <c r="G105" s="104">
        <v>50</v>
      </c>
      <c r="H105" s="104" t="s">
        <v>73</v>
      </c>
      <c r="I105" s="104"/>
      <c r="J105" s="104">
        <v>0</v>
      </c>
      <c r="K105" s="109">
        <f t="shared" si="6"/>
        <v>50</v>
      </c>
      <c r="L105" s="112">
        <v>1</v>
      </c>
      <c r="M105" s="109">
        <f t="shared" si="7"/>
        <v>50</v>
      </c>
      <c r="N105" s="8" t="s">
        <v>159</v>
      </c>
      <c r="O105" s="4" t="s">
        <v>160</v>
      </c>
      <c r="P105" s="8" t="s">
        <v>161</v>
      </c>
      <c r="Q105" s="74" t="s">
        <v>162</v>
      </c>
      <c r="R105" s="76" t="s">
        <v>162</v>
      </c>
      <c r="S105" s="74" t="s">
        <v>162</v>
      </c>
      <c r="T105" s="76" t="s">
        <v>73</v>
      </c>
      <c r="U105" s="8"/>
      <c r="V105" s="68" t="s">
        <v>568</v>
      </c>
      <c r="W105" s="68" t="s">
        <v>569</v>
      </c>
      <c r="X105" s="10"/>
    </row>
    <row r="106" spans="1:24" ht="43" customHeight="1">
      <c r="A106" s="88">
        <v>104</v>
      </c>
      <c r="B106" s="92" t="s">
        <v>127</v>
      </c>
      <c r="C106" s="82" t="s">
        <v>156</v>
      </c>
      <c r="D106" s="82" t="s">
        <v>565</v>
      </c>
      <c r="E106" s="97" t="s">
        <v>570</v>
      </c>
      <c r="F106" s="85" t="s">
        <v>571</v>
      </c>
      <c r="G106" s="107">
        <v>26</v>
      </c>
      <c r="H106" s="107" t="s">
        <v>73</v>
      </c>
      <c r="I106" s="107"/>
      <c r="J106" s="107">
        <v>0</v>
      </c>
      <c r="K106" s="109">
        <f t="shared" si="6"/>
        <v>26</v>
      </c>
      <c r="L106" s="115">
        <v>1</v>
      </c>
      <c r="M106" s="109">
        <f t="shared" si="7"/>
        <v>26</v>
      </c>
      <c r="N106" s="36" t="s">
        <v>159</v>
      </c>
      <c r="O106" s="82" t="s">
        <v>160</v>
      </c>
      <c r="P106" s="36" t="s">
        <v>161</v>
      </c>
      <c r="Q106" s="117" t="s">
        <v>162</v>
      </c>
      <c r="R106" s="75" t="s">
        <v>162</v>
      </c>
      <c r="S106" s="117" t="s">
        <v>162</v>
      </c>
      <c r="T106" s="75" t="s">
        <v>73</v>
      </c>
      <c r="U106" s="36"/>
      <c r="V106" s="103" t="s">
        <v>572</v>
      </c>
      <c r="W106" s="103" t="s">
        <v>573</v>
      </c>
      <c r="X106" s="38"/>
    </row>
    <row r="107" spans="1:24" ht="43" customHeight="1">
      <c r="A107" s="87">
        <v>105</v>
      </c>
      <c r="B107" s="55" t="s">
        <v>109</v>
      </c>
      <c r="C107" s="4" t="s">
        <v>156</v>
      </c>
      <c r="D107" s="4" t="s">
        <v>565</v>
      </c>
      <c r="E107" s="98" t="s">
        <v>574</v>
      </c>
      <c r="F107" s="23" t="s">
        <v>467</v>
      </c>
      <c r="G107" s="104">
        <v>56</v>
      </c>
      <c r="H107" s="104" t="s">
        <v>73</v>
      </c>
      <c r="I107" s="104"/>
      <c r="J107" s="104">
        <v>0</v>
      </c>
      <c r="K107" s="109">
        <f t="shared" si="6"/>
        <v>56</v>
      </c>
      <c r="L107" s="112">
        <v>1</v>
      </c>
      <c r="M107" s="109">
        <f t="shared" si="7"/>
        <v>56</v>
      </c>
      <c r="N107" s="8" t="s">
        <v>159</v>
      </c>
      <c r="O107" s="4" t="s">
        <v>160</v>
      </c>
      <c r="P107" s="8" t="s">
        <v>161</v>
      </c>
      <c r="Q107" s="74" t="s">
        <v>162</v>
      </c>
      <c r="R107" s="76" t="s">
        <v>73</v>
      </c>
      <c r="S107" s="74" t="s">
        <v>162</v>
      </c>
      <c r="T107" s="76" t="s">
        <v>162</v>
      </c>
      <c r="U107" s="8" t="s">
        <v>227</v>
      </c>
      <c r="V107" s="68" t="s">
        <v>575</v>
      </c>
      <c r="W107" s="68" t="s">
        <v>576</v>
      </c>
      <c r="X107" s="10"/>
    </row>
    <row r="108" spans="1:24" ht="43" customHeight="1">
      <c r="A108" s="88">
        <v>106</v>
      </c>
      <c r="B108" s="92" t="s">
        <v>122</v>
      </c>
      <c r="C108" s="82" t="s">
        <v>156</v>
      </c>
      <c r="D108" s="82" t="s">
        <v>565</v>
      </c>
      <c r="E108" s="97" t="s">
        <v>577</v>
      </c>
      <c r="F108" s="85" t="s">
        <v>578</v>
      </c>
      <c r="G108" s="107">
        <v>60</v>
      </c>
      <c r="H108" s="107" t="s">
        <v>73</v>
      </c>
      <c r="I108" s="107"/>
      <c r="J108" s="107">
        <v>0</v>
      </c>
      <c r="K108" s="109">
        <f t="shared" si="6"/>
        <v>60</v>
      </c>
      <c r="L108" s="115">
        <v>1</v>
      </c>
      <c r="M108" s="109">
        <f t="shared" si="7"/>
        <v>60</v>
      </c>
      <c r="N108" s="36" t="s">
        <v>159</v>
      </c>
      <c r="O108" s="82" t="s">
        <v>160</v>
      </c>
      <c r="P108" s="36" t="s">
        <v>161</v>
      </c>
      <c r="Q108" s="117" t="s">
        <v>162</v>
      </c>
      <c r="R108" s="75" t="s">
        <v>162</v>
      </c>
      <c r="S108" s="117" t="s">
        <v>162</v>
      </c>
      <c r="T108" s="75" t="s">
        <v>73</v>
      </c>
      <c r="U108" s="36"/>
      <c r="V108" s="103" t="s">
        <v>579</v>
      </c>
      <c r="W108" s="103" t="s">
        <v>580</v>
      </c>
      <c r="X108" s="38"/>
    </row>
    <row r="109" spans="1:24" ht="43" customHeight="1">
      <c r="A109" s="87">
        <v>107</v>
      </c>
      <c r="B109" s="55" t="s">
        <v>129</v>
      </c>
      <c r="C109" s="4" t="s">
        <v>156</v>
      </c>
      <c r="D109" s="4" t="s">
        <v>565</v>
      </c>
      <c r="E109" s="98" t="s">
        <v>581</v>
      </c>
      <c r="F109" s="23" t="s">
        <v>582</v>
      </c>
      <c r="G109" s="104">
        <v>19</v>
      </c>
      <c r="H109" s="104" t="s">
        <v>73</v>
      </c>
      <c r="I109" s="104"/>
      <c r="J109" s="104">
        <v>0</v>
      </c>
      <c r="K109" s="109">
        <f t="shared" si="6"/>
        <v>19</v>
      </c>
      <c r="L109" s="112">
        <v>1</v>
      </c>
      <c r="M109" s="109">
        <f t="shared" si="7"/>
        <v>19</v>
      </c>
      <c r="N109" s="8" t="s">
        <v>159</v>
      </c>
      <c r="O109" s="4" t="s">
        <v>160</v>
      </c>
      <c r="P109" s="8" t="s">
        <v>161</v>
      </c>
      <c r="Q109" s="74" t="s">
        <v>162</v>
      </c>
      <c r="R109" s="76" t="s">
        <v>73</v>
      </c>
      <c r="S109" s="74" t="s">
        <v>162</v>
      </c>
      <c r="T109" s="76" t="s">
        <v>162</v>
      </c>
      <c r="U109" s="8" t="s">
        <v>227</v>
      </c>
      <c r="V109" s="68" t="s">
        <v>583</v>
      </c>
      <c r="W109" s="68" t="s">
        <v>584</v>
      </c>
      <c r="X109" s="10"/>
    </row>
    <row r="110" spans="1:24" ht="43" customHeight="1">
      <c r="A110" s="88">
        <v>108</v>
      </c>
      <c r="B110" s="92" t="s">
        <v>109</v>
      </c>
      <c r="C110" s="82" t="s">
        <v>156</v>
      </c>
      <c r="D110" s="82" t="s">
        <v>585</v>
      </c>
      <c r="E110" s="97" t="s">
        <v>586</v>
      </c>
      <c r="F110" s="85" t="s">
        <v>582</v>
      </c>
      <c r="G110" s="107">
        <v>90</v>
      </c>
      <c r="H110" s="107" t="s">
        <v>162</v>
      </c>
      <c r="I110" s="107">
        <v>8</v>
      </c>
      <c r="J110" s="107">
        <v>0</v>
      </c>
      <c r="K110" s="109">
        <f t="shared" si="6"/>
        <v>98</v>
      </c>
      <c r="L110" s="115">
        <v>2</v>
      </c>
      <c r="M110" s="109">
        <f t="shared" si="7"/>
        <v>49</v>
      </c>
      <c r="N110" s="36" t="s">
        <v>159</v>
      </c>
      <c r="O110" s="82" t="s">
        <v>160</v>
      </c>
      <c r="P110" s="36" t="s">
        <v>161</v>
      </c>
      <c r="Q110" s="117" t="s">
        <v>162</v>
      </c>
      <c r="R110" s="75" t="s">
        <v>73</v>
      </c>
      <c r="S110" s="117" t="s">
        <v>162</v>
      </c>
      <c r="T110" s="75" t="s">
        <v>162</v>
      </c>
      <c r="U110" s="36" t="s">
        <v>227</v>
      </c>
      <c r="V110" s="103" t="s">
        <v>587</v>
      </c>
      <c r="W110" s="103" t="s">
        <v>588</v>
      </c>
      <c r="X110" s="38"/>
    </row>
    <row r="111" spans="1:24" ht="43" customHeight="1">
      <c r="A111" s="87">
        <v>109</v>
      </c>
      <c r="B111" s="55" t="s">
        <v>116</v>
      </c>
      <c r="C111" s="4" t="s">
        <v>156</v>
      </c>
      <c r="D111" s="4" t="s">
        <v>589</v>
      </c>
      <c r="E111" s="98" t="s">
        <v>590</v>
      </c>
      <c r="F111" s="23" t="s">
        <v>578</v>
      </c>
      <c r="G111" s="104">
        <v>46</v>
      </c>
      <c r="H111" s="104" t="s">
        <v>73</v>
      </c>
      <c r="I111" s="104"/>
      <c r="J111" s="104">
        <v>0</v>
      </c>
      <c r="K111" s="109">
        <f t="shared" si="6"/>
        <v>46</v>
      </c>
      <c r="L111" s="112">
        <v>1</v>
      </c>
      <c r="M111" s="109">
        <f t="shared" si="7"/>
        <v>46</v>
      </c>
      <c r="N111" s="8" t="s">
        <v>159</v>
      </c>
      <c r="O111" s="4" t="s">
        <v>160</v>
      </c>
      <c r="P111" s="8" t="s">
        <v>161</v>
      </c>
      <c r="Q111" s="74" t="s">
        <v>162</v>
      </c>
      <c r="R111" s="76" t="s">
        <v>162</v>
      </c>
      <c r="S111" s="74" t="s">
        <v>162</v>
      </c>
      <c r="T111" s="76" t="s">
        <v>73</v>
      </c>
      <c r="U111" s="8"/>
      <c r="V111" s="68" t="s">
        <v>591</v>
      </c>
      <c r="W111" s="68" t="s">
        <v>592</v>
      </c>
      <c r="X111" s="10"/>
    </row>
    <row r="112" spans="1:24" ht="43" customHeight="1">
      <c r="A112" s="88">
        <v>110</v>
      </c>
      <c r="B112" s="92" t="s">
        <v>109</v>
      </c>
      <c r="C112" s="82" t="s">
        <v>156</v>
      </c>
      <c r="D112" s="82" t="s">
        <v>589</v>
      </c>
      <c r="E112" s="97" t="s">
        <v>593</v>
      </c>
      <c r="F112" s="85" t="s">
        <v>582</v>
      </c>
      <c r="G112" s="107">
        <v>46</v>
      </c>
      <c r="H112" s="107" t="s">
        <v>73</v>
      </c>
      <c r="I112" s="107"/>
      <c r="J112" s="107">
        <v>0</v>
      </c>
      <c r="K112" s="109">
        <f t="shared" si="6"/>
        <v>46</v>
      </c>
      <c r="L112" s="115">
        <v>1</v>
      </c>
      <c r="M112" s="109">
        <f t="shared" si="7"/>
        <v>46</v>
      </c>
      <c r="N112" s="36" t="s">
        <v>159</v>
      </c>
      <c r="O112" s="82" t="s">
        <v>160</v>
      </c>
      <c r="P112" s="36" t="s">
        <v>161</v>
      </c>
      <c r="Q112" s="117" t="s">
        <v>162</v>
      </c>
      <c r="R112" s="75" t="s">
        <v>162</v>
      </c>
      <c r="S112" s="117" t="s">
        <v>162</v>
      </c>
      <c r="T112" s="75" t="s">
        <v>73</v>
      </c>
      <c r="U112" s="36"/>
      <c r="V112" s="103" t="s">
        <v>594</v>
      </c>
      <c r="W112" s="103" t="s">
        <v>595</v>
      </c>
      <c r="X112" s="38"/>
    </row>
    <row r="113" spans="1:24" ht="43" customHeight="1">
      <c r="A113" s="87">
        <v>111</v>
      </c>
      <c r="B113" s="55" t="s">
        <v>116</v>
      </c>
      <c r="C113" s="4" t="s">
        <v>156</v>
      </c>
      <c r="D113" s="4" t="s">
        <v>596</v>
      </c>
      <c r="E113" s="98" t="s">
        <v>597</v>
      </c>
      <c r="F113" s="23" t="s">
        <v>582</v>
      </c>
      <c r="G113" s="104">
        <v>75</v>
      </c>
      <c r="H113" s="104" t="s">
        <v>73</v>
      </c>
      <c r="I113" s="104">
        <v>0</v>
      </c>
      <c r="J113" s="104">
        <v>0</v>
      </c>
      <c r="K113" s="109">
        <f t="shared" si="6"/>
        <v>75</v>
      </c>
      <c r="L113" s="112">
        <v>1</v>
      </c>
      <c r="M113" s="109">
        <f t="shared" si="7"/>
        <v>75</v>
      </c>
      <c r="N113" s="8" t="s">
        <v>159</v>
      </c>
      <c r="O113" s="4" t="s">
        <v>160</v>
      </c>
      <c r="P113" s="8" t="s">
        <v>161</v>
      </c>
      <c r="Q113" s="74" t="s">
        <v>162</v>
      </c>
      <c r="R113" s="76" t="s">
        <v>162</v>
      </c>
      <c r="S113" s="74" t="s">
        <v>162</v>
      </c>
      <c r="T113" s="76" t="s">
        <v>73</v>
      </c>
      <c r="U113" s="8"/>
      <c r="V113" s="68" t="s">
        <v>598</v>
      </c>
      <c r="W113" s="68" t="s">
        <v>599</v>
      </c>
      <c r="X113" s="10"/>
    </row>
    <row r="114" spans="1:24" ht="43" customHeight="1">
      <c r="A114" s="88">
        <v>112</v>
      </c>
      <c r="B114" s="92" t="s">
        <v>109</v>
      </c>
      <c r="C114" s="82" t="s">
        <v>156</v>
      </c>
      <c r="D114" s="82" t="s">
        <v>596</v>
      </c>
      <c r="E114" s="97" t="s">
        <v>597</v>
      </c>
      <c r="F114" s="85" t="s">
        <v>582</v>
      </c>
      <c r="G114" s="107">
        <v>68</v>
      </c>
      <c r="H114" s="107" t="s">
        <v>73</v>
      </c>
      <c r="I114" s="107">
        <v>0</v>
      </c>
      <c r="J114" s="107">
        <v>0</v>
      </c>
      <c r="K114" s="109">
        <f t="shared" si="6"/>
        <v>68</v>
      </c>
      <c r="L114" s="115">
        <v>1</v>
      </c>
      <c r="M114" s="109">
        <f t="shared" si="7"/>
        <v>68</v>
      </c>
      <c r="N114" s="36" t="s">
        <v>159</v>
      </c>
      <c r="O114" s="82" t="s">
        <v>160</v>
      </c>
      <c r="P114" s="36" t="s">
        <v>161</v>
      </c>
      <c r="Q114" s="117" t="s">
        <v>162</v>
      </c>
      <c r="R114" s="75" t="s">
        <v>162</v>
      </c>
      <c r="S114" s="117" t="s">
        <v>162</v>
      </c>
      <c r="T114" s="75" t="s">
        <v>73</v>
      </c>
      <c r="U114" s="36"/>
      <c r="V114" s="103" t="s">
        <v>600</v>
      </c>
      <c r="W114" s="103" t="s">
        <v>601</v>
      </c>
      <c r="X114" s="38"/>
    </row>
    <row r="115" spans="1:24" ht="43" customHeight="1">
      <c r="A115" s="87">
        <v>113</v>
      </c>
      <c r="B115" s="55" t="s">
        <v>119</v>
      </c>
      <c r="C115" s="4" t="s">
        <v>156</v>
      </c>
      <c r="D115" s="4" t="s">
        <v>596</v>
      </c>
      <c r="E115" s="98" t="s">
        <v>597</v>
      </c>
      <c r="F115" s="23" t="s">
        <v>582</v>
      </c>
      <c r="G115" s="104">
        <v>60</v>
      </c>
      <c r="H115" s="104" t="s">
        <v>73</v>
      </c>
      <c r="I115" s="104">
        <v>0</v>
      </c>
      <c r="J115" s="104">
        <v>0</v>
      </c>
      <c r="K115" s="109">
        <f t="shared" si="6"/>
        <v>60</v>
      </c>
      <c r="L115" s="112">
        <v>1</v>
      </c>
      <c r="M115" s="109">
        <f t="shared" si="7"/>
        <v>60</v>
      </c>
      <c r="N115" s="8" t="s">
        <v>159</v>
      </c>
      <c r="O115" s="4" t="s">
        <v>160</v>
      </c>
      <c r="P115" s="8" t="s">
        <v>161</v>
      </c>
      <c r="Q115" s="74" t="s">
        <v>162</v>
      </c>
      <c r="R115" s="76" t="s">
        <v>162</v>
      </c>
      <c r="S115" s="74" t="s">
        <v>162</v>
      </c>
      <c r="T115" s="76" t="s">
        <v>73</v>
      </c>
      <c r="U115" s="8"/>
      <c r="V115" s="68" t="s">
        <v>602</v>
      </c>
      <c r="W115" s="68" t="s">
        <v>603</v>
      </c>
      <c r="X115" s="10"/>
    </row>
    <row r="116" spans="1:24" ht="43" customHeight="1">
      <c r="A116" s="88">
        <v>114</v>
      </c>
      <c r="B116" s="92" t="s">
        <v>122</v>
      </c>
      <c r="C116" s="82" t="s">
        <v>156</v>
      </c>
      <c r="D116" s="82" t="s">
        <v>596</v>
      </c>
      <c r="E116" s="97" t="s">
        <v>597</v>
      </c>
      <c r="F116" s="85" t="s">
        <v>582</v>
      </c>
      <c r="G116" s="107">
        <v>45</v>
      </c>
      <c r="H116" s="107" t="s">
        <v>73</v>
      </c>
      <c r="I116" s="107">
        <v>0</v>
      </c>
      <c r="J116" s="107">
        <v>0</v>
      </c>
      <c r="K116" s="109">
        <f t="shared" si="6"/>
        <v>45</v>
      </c>
      <c r="L116" s="115">
        <v>1</v>
      </c>
      <c r="M116" s="109">
        <f t="shared" si="7"/>
        <v>45</v>
      </c>
      <c r="N116" s="36" t="s">
        <v>159</v>
      </c>
      <c r="O116" s="82" t="s">
        <v>160</v>
      </c>
      <c r="P116" s="36" t="s">
        <v>161</v>
      </c>
      <c r="Q116" s="117" t="s">
        <v>162</v>
      </c>
      <c r="R116" s="75" t="s">
        <v>162</v>
      </c>
      <c r="S116" s="117" t="s">
        <v>162</v>
      </c>
      <c r="T116" s="75" t="s">
        <v>73</v>
      </c>
      <c r="U116" s="36"/>
      <c r="V116" s="103" t="s">
        <v>604</v>
      </c>
      <c r="W116" s="103" t="s">
        <v>605</v>
      </c>
      <c r="X116" s="38"/>
    </row>
    <row r="117" spans="1:24" ht="43" customHeight="1">
      <c r="A117" s="87">
        <v>115</v>
      </c>
      <c r="B117" s="55" t="s">
        <v>125</v>
      </c>
      <c r="C117" s="4" t="s">
        <v>156</v>
      </c>
      <c r="D117" s="4" t="s">
        <v>596</v>
      </c>
      <c r="E117" s="98" t="s">
        <v>597</v>
      </c>
      <c r="F117" s="23" t="s">
        <v>582</v>
      </c>
      <c r="G117" s="104">
        <v>35</v>
      </c>
      <c r="H117" s="104" t="s">
        <v>73</v>
      </c>
      <c r="I117" s="104">
        <v>0</v>
      </c>
      <c r="J117" s="104">
        <v>0</v>
      </c>
      <c r="K117" s="109">
        <f t="shared" si="6"/>
        <v>35</v>
      </c>
      <c r="L117" s="112">
        <v>1</v>
      </c>
      <c r="M117" s="109">
        <f t="shared" si="7"/>
        <v>35</v>
      </c>
      <c r="N117" s="8" t="s">
        <v>159</v>
      </c>
      <c r="O117" s="4" t="s">
        <v>160</v>
      </c>
      <c r="P117" s="8" t="s">
        <v>161</v>
      </c>
      <c r="Q117" s="74" t="s">
        <v>162</v>
      </c>
      <c r="R117" s="76" t="s">
        <v>162</v>
      </c>
      <c r="S117" s="74" t="s">
        <v>162</v>
      </c>
      <c r="T117" s="76" t="s">
        <v>73</v>
      </c>
      <c r="U117" s="8"/>
      <c r="V117" s="68" t="s">
        <v>606</v>
      </c>
      <c r="W117" s="68" t="s">
        <v>607</v>
      </c>
      <c r="X117" s="10"/>
    </row>
    <row r="118" spans="1:24" ht="43" customHeight="1">
      <c r="A118" s="88">
        <v>116</v>
      </c>
      <c r="B118" s="92" t="s">
        <v>127</v>
      </c>
      <c r="C118" s="82" t="s">
        <v>156</v>
      </c>
      <c r="D118" s="82" t="s">
        <v>596</v>
      </c>
      <c r="E118" s="97" t="s">
        <v>597</v>
      </c>
      <c r="F118" s="85" t="s">
        <v>582</v>
      </c>
      <c r="G118" s="107">
        <v>34</v>
      </c>
      <c r="H118" s="107" t="s">
        <v>73</v>
      </c>
      <c r="I118" s="107">
        <v>0</v>
      </c>
      <c r="J118" s="107">
        <v>0</v>
      </c>
      <c r="K118" s="109">
        <f t="shared" si="6"/>
        <v>34</v>
      </c>
      <c r="L118" s="115">
        <v>1</v>
      </c>
      <c r="M118" s="109">
        <f t="shared" si="7"/>
        <v>34</v>
      </c>
      <c r="N118" s="36" t="s">
        <v>159</v>
      </c>
      <c r="O118" s="82" t="s">
        <v>160</v>
      </c>
      <c r="P118" s="36" t="s">
        <v>161</v>
      </c>
      <c r="Q118" s="117" t="s">
        <v>162</v>
      </c>
      <c r="R118" s="75" t="s">
        <v>162</v>
      </c>
      <c r="S118" s="117" t="s">
        <v>162</v>
      </c>
      <c r="T118" s="75" t="s">
        <v>73</v>
      </c>
      <c r="U118" s="36"/>
      <c r="V118" s="103" t="s">
        <v>608</v>
      </c>
      <c r="W118" s="103" t="s">
        <v>609</v>
      </c>
      <c r="X118" s="38"/>
    </row>
    <row r="119" spans="1:24" ht="43" customHeight="1">
      <c r="A119" s="87">
        <v>117</v>
      </c>
      <c r="B119" s="55" t="s">
        <v>129</v>
      </c>
      <c r="C119" s="4" t="s">
        <v>156</v>
      </c>
      <c r="D119" s="4" t="s">
        <v>596</v>
      </c>
      <c r="E119" s="98" t="s">
        <v>597</v>
      </c>
      <c r="F119" s="23" t="s">
        <v>582</v>
      </c>
      <c r="G119" s="104">
        <v>20</v>
      </c>
      <c r="H119" s="104" t="s">
        <v>73</v>
      </c>
      <c r="I119" s="104">
        <v>0</v>
      </c>
      <c r="J119" s="104">
        <v>0</v>
      </c>
      <c r="K119" s="109">
        <f t="shared" si="6"/>
        <v>20</v>
      </c>
      <c r="L119" s="112">
        <v>1</v>
      </c>
      <c r="M119" s="109">
        <f t="shared" si="7"/>
        <v>20</v>
      </c>
      <c r="N119" s="8" t="s">
        <v>159</v>
      </c>
      <c r="O119" s="4" t="s">
        <v>160</v>
      </c>
      <c r="P119" s="8" t="s">
        <v>161</v>
      </c>
      <c r="Q119" s="74" t="s">
        <v>162</v>
      </c>
      <c r="R119" s="76" t="s">
        <v>162</v>
      </c>
      <c r="S119" s="74" t="s">
        <v>162</v>
      </c>
      <c r="T119" s="76" t="s">
        <v>73</v>
      </c>
      <c r="U119" s="8"/>
      <c r="V119" s="68" t="s">
        <v>610</v>
      </c>
      <c r="W119" s="68" t="s">
        <v>611</v>
      </c>
      <c r="X119" s="10"/>
    </row>
    <row r="120" spans="1:24" ht="43" customHeight="1">
      <c r="A120" s="88">
        <v>118</v>
      </c>
      <c r="B120" s="92" t="s">
        <v>131</v>
      </c>
      <c r="C120" s="82" t="s">
        <v>156</v>
      </c>
      <c r="D120" s="82" t="s">
        <v>596</v>
      </c>
      <c r="E120" s="97" t="s">
        <v>597</v>
      </c>
      <c r="F120" s="85" t="s">
        <v>582</v>
      </c>
      <c r="G120" s="107">
        <v>40</v>
      </c>
      <c r="H120" s="107" t="s">
        <v>73</v>
      </c>
      <c r="I120" s="107">
        <v>0</v>
      </c>
      <c r="J120" s="107">
        <v>0</v>
      </c>
      <c r="K120" s="109">
        <f t="shared" si="6"/>
        <v>40</v>
      </c>
      <c r="L120" s="115">
        <v>1</v>
      </c>
      <c r="M120" s="109">
        <f t="shared" si="7"/>
        <v>40</v>
      </c>
      <c r="N120" s="36" t="s">
        <v>159</v>
      </c>
      <c r="O120" s="82" t="s">
        <v>160</v>
      </c>
      <c r="P120" s="36" t="s">
        <v>161</v>
      </c>
      <c r="Q120" s="117" t="s">
        <v>162</v>
      </c>
      <c r="R120" s="75" t="s">
        <v>162</v>
      </c>
      <c r="S120" s="117" t="s">
        <v>162</v>
      </c>
      <c r="T120" s="75" t="s">
        <v>73</v>
      </c>
      <c r="U120" s="36"/>
      <c r="V120" s="103" t="s">
        <v>612</v>
      </c>
      <c r="W120" s="103" t="s">
        <v>613</v>
      </c>
      <c r="X120" s="38"/>
    </row>
    <row r="121" spans="1:24" ht="43" customHeight="1">
      <c r="A121" s="87">
        <v>119</v>
      </c>
      <c r="B121" s="55" t="s">
        <v>109</v>
      </c>
      <c r="C121" s="4" t="s">
        <v>156</v>
      </c>
      <c r="D121" s="4" t="s">
        <v>614</v>
      </c>
      <c r="E121" s="98" t="s">
        <v>615</v>
      </c>
      <c r="F121" s="23" t="s">
        <v>582</v>
      </c>
      <c r="G121" s="104">
        <v>65</v>
      </c>
      <c r="H121" s="104" t="s">
        <v>73</v>
      </c>
      <c r="I121" s="104"/>
      <c r="J121" s="104">
        <v>0</v>
      </c>
      <c r="K121" s="109">
        <f t="shared" si="6"/>
        <v>65</v>
      </c>
      <c r="L121" s="112">
        <v>1</v>
      </c>
      <c r="M121" s="109">
        <f t="shared" si="7"/>
        <v>65</v>
      </c>
      <c r="N121" s="8" t="s">
        <v>159</v>
      </c>
      <c r="O121" s="4" t="s">
        <v>160</v>
      </c>
      <c r="P121" s="8" t="s">
        <v>161</v>
      </c>
      <c r="Q121" s="74" t="s">
        <v>162</v>
      </c>
      <c r="R121" s="76" t="s">
        <v>162</v>
      </c>
      <c r="S121" s="74" t="s">
        <v>162</v>
      </c>
      <c r="T121" s="76" t="s">
        <v>73</v>
      </c>
      <c r="U121" s="8"/>
      <c r="V121" s="68" t="s">
        <v>616</v>
      </c>
      <c r="W121" s="68" t="s">
        <v>617</v>
      </c>
      <c r="X121" s="10"/>
    </row>
    <row r="122" spans="1:24" ht="43" customHeight="1">
      <c r="A122" s="88">
        <v>120</v>
      </c>
      <c r="B122" s="92" t="s">
        <v>119</v>
      </c>
      <c r="C122" s="82" t="s">
        <v>156</v>
      </c>
      <c r="D122" s="82" t="s">
        <v>614</v>
      </c>
      <c r="E122" s="97" t="s">
        <v>615</v>
      </c>
      <c r="F122" s="85" t="s">
        <v>582</v>
      </c>
      <c r="G122" s="107">
        <v>50</v>
      </c>
      <c r="H122" s="107" t="s">
        <v>73</v>
      </c>
      <c r="I122" s="107"/>
      <c r="J122" s="107">
        <v>0</v>
      </c>
      <c r="K122" s="109">
        <f t="shared" si="6"/>
        <v>50</v>
      </c>
      <c r="L122" s="115">
        <v>1</v>
      </c>
      <c r="M122" s="109">
        <f t="shared" si="7"/>
        <v>50</v>
      </c>
      <c r="N122" s="36" t="s">
        <v>159</v>
      </c>
      <c r="O122" s="82" t="s">
        <v>160</v>
      </c>
      <c r="P122" s="36" t="s">
        <v>161</v>
      </c>
      <c r="Q122" s="117" t="s">
        <v>162</v>
      </c>
      <c r="R122" s="75" t="s">
        <v>162</v>
      </c>
      <c r="S122" s="117" t="s">
        <v>162</v>
      </c>
      <c r="T122" s="75" t="s">
        <v>73</v>
      </c>
      <c r="U122" s="36"/>
      <c r="V122" s="103" t="s">
        <v>618</v>
      </c>
      <c r="W122" s="103" t="s">
        <v>619</v>
      </c>
      <c r="X122" s="38"/>
    </row>
    <row r="123" spans="1:24" ht="43" customHeight="1">
      <c r="A123" s="87">
        <v>121</v>
      </c>
      <c r="B123" s="55" t="s">
        <v>125</v>
      </c>
      <c r="C123" s="4" t="s">
        <v>156</v>
      </c>
      <c r="D123" s="4" t="s">
        <v>614</v>
      </c>
      <c r="E123" s="98" t="s">
        <v>615</v>
      </c>
      <c r="F123" s="23" t="s">
        <v>582</v>
      </c>
      <c r="G123" s="104">
        <v>72</v>
      </c>
      <c r="H123" s="104" t="s">
        <v>73</v>
      </c>
      <c r="I123" s="104"/>
      <c r="J123" s="104">
        <v>0</v>
      </c>
      <c r="K123" s="109">
        <f t="shared" si="6"/>
        <v>72</v>
      </c>
      <c r="L123" s="112">
        <v>2</v>
      </c>
      <c r="M123" s="109">
        <f t="shared" si="7"/>
        <v>36</v>
      </c>
      <c r="N123" s="8" t="s">
        <v>159</v>
      </c>
      <c r="O123" s="4" t="s">
        <v>160</v>
      </c>
      <c r="P123" s="8" t="s">
        <v>161</v>
      </c>
      <c r="Q123" s="74" t="s">
        <v>162</v>
      </c>
      <c r="R123" s="76" t="s">
        <v>73</v>
      </c>
      <c r="S123" s="74" t="s">
        <v>162</v>
      </c>
      <c r="T123" s="76" t="s">
        <v>162</v>
      </c>
      <c r="U123" s="8" t="s">
        <v>227</v>
      </c>
      <c r="V123" s="68" t="s">
        <v>620</v>
      </c>
      <c r="W123" s="68" t="s">
        <v>621</v>
      </c>
      <c r="X123" s="10"/>
    </row>
    <row r="124" spans="1:24" ht="43" customHeight="1">
      <c r="A124" s="88">
        <v>122</v>
      </c>
      <c r="B124" s="92" t="s">
        <v>131</v>
      </c>
      <c r="C124" s="82" t="s">
        <v>156</v>
      </c>
      <c r="D124" s="82" t="s">
        <v>614</v>
      </c>
      <c r="E124" s="97" t="s">
        <v>615</v>
      </c>
      <c r="F124" s="85" t="s">
        <v>582</v>
      </c>
      <c r="G124" s="107">
        <v>45</v>
      </c>
      <c r="H124" s="107" t="s">
        <v>73</v>
      </c>
      <c r="I124" s="107"/>
      <c r="J124" s="107">
        <v>0</v>
      </c>
      <c r="K124" s="109">
        <f t="shared" si="6"/>
        <v>45</v>
      </c>
      <c r="L124" s="115">
        <v>1</v>
      </c>
      <c r="M124" s="109">
        <f t="shared" si="7"/>
        <v>45</v>
      </c>
      <c r="N124" s="36" t="s">
        <v>159</v>
      </c>
      <c r="O124" s="82" t="s">
        <v>160</v>
      </c>
      <c r="P124" s="36" t="s">
        <v>161</v>
      </c>
      <c r="Q124" s="117" t="s">
        <v>162</v>
      </c>
      <c r="R124" s="75" t="s">
        <v>162</v>
      </c>
      <c r="S124" s="117" t="s">
        <v>162</v>
      </c>
      <c r="T124" s="75" t="s">
        <v>73</v>
      </c>
      <c r="U124" s="36"/>
      <c r="V124" s="103" t="s">
        <v>622</v>
      </c>
      <c r="W124" s="103" t="s">
        <v>623</v>
      </c>
      <c r="X124" s="38"/>
    </row>
    <row r="125" spans="1:24" ht="43" customHeight="1">
      <c r="A125" s="87">
        <v>123</v>
      </c>
      <c r="B125" s="55" t="s">
        <v>129</v>
      </c>
      <c r="C125" s="4" t="s">
        <v>156</v>
      </c>
      <c r="D125" s="4" t="s">
        <v>614</v>
      </c>
      <c r="E125" s="98" t="s">
        <v>615</v>
      </c>
      <c r="F125" s="23" t="s">
        <v>582</v>
      </c>
      <c r="G125" s="104">
        <v>25</v>
      </c>
      <c r="H125" s="104" t="s">
        <v>73</v>
      </c>
      <c r="I125" s="104"/>
      <c r="J125" s="104">
        <v>0</v>
      </c>
      <c r="K125" s="109">
        <f t="shared" si="6"/>
        <v>25</v>
      </c>
      <c r="L125" s="112">
        <v>1</v>
      </c>
      <c r="M125" s="109">
        <f t="shared" si="7"/>
        <v>25</v>
      </c>
      <c r="N125" s="8" t="s">
        <v>159</v>
      </c>
      <c r="O125" s="4" t="s">
        <v>160</v>
      </c>
      <c r="P125" s="8" t="s">
        <v>161</v>
      </c>
      <c r="Q125" s="74" t="s">
        <v>162</v>
      </c>
      <c r="R125" s="76" t="s">
        <v>162</v>
      </c>
      <c r="S125" s="74" t="s">
        <v>162</v>
      </c>
      <c r="T125" s="76" t="s">
        <v>73</v>
      </c>
      <c r="U125" s="8"/>
      <c r="V125" s="68" t="s">
        <v>624</v>
      </c>
      <c r="W125" s="68" t="s">
        <v>625</v>
      </c>
      <c r="X125" s="10"/>
    </row>
    <row r="126" spans="1:24" ht="43" customHeight="1">
      <c r="A126" s="88">
        <v>124</v>
      </c>
      <c r="B126" s="92" t="s">
        <v>131</v>
      </c>
      <c r="C126" s="82" t="s">
        <v>156</v>
      </c>
      <c r="D126" s="82" t="s">
        <v>626</v>
      </c>
      <c r="E126" s="97" t="s">
        <v>627</v>
      </c>
      <c r="F126" s="85" t="s">
        <v>582</v>
      </c>
      <c r="G126" s="107">
        <v>40</v>
      </c>
      <c r="H126" s="107" t="s">
        <v>162</v>
      </c>
      <c r="I126" s="107">
        <v>4</v>
      </c>
      <c r="J126" s="107">
        <v>0</v>
      </c>
      <c r="K126" s="109">
        <f t="shared" si="6"/>
        <v>44</v>
      </c>
      <c r="L126" s="115">
        <v>1</v>
      </c>
      <c r="M126" s="109">
        <f t="shared" si="7"/>
        <v>44</v>
      </c>
      <c r="N126" s="36" t="s">
        <v>159</v>
      </c>
      <c r="O126" s="82" t="s">
        <v>160</v>
      </c>
      <c r="P126" s="36" t="s">
        <v>161</v>
      </c>
      <c r="Q126" s="117" t="s">
        <v>162</v>
      </c>
      <c r="R126" s="75" t="s">
        <v>162</v>
      </c>
      <c r="S126" s="117" t="s">
        <v>162</v>
      </c>
      <c r="T126" s="75" t="s">
        <v>73</v>
      </c>
      <c r="U126" s="36"/>
      <c r="V126" s="103" t="s">
        <v>628</v>
      </c>
      <c r="W126" s="103" t="s">
        <v>629</v>
      </c>
      <c r="X126" s="38"/>
    </row>
    <row r="127" spans="1:24" ht="43" customHeight="1">
      <c r="A127" s="87">
        <v>125</v>
      </c>
      <c r="B127" s="57" t="s">
        <v>131</v>
      </c>
      <c r="C127" s="8" t="s">
        <v>156</v>
      </c>
      <c r="D127" s="4" t="s">
        <v>630</v>
      </c>
      <c r="E127" s="73" t="s">
        <v>631</v>
      </c>
      <c r="F127" s="14">
        <v>46253</v>
      </c>
      <c r="G127" s="106">
        <v>28</v>
      </c>
      <c r="H127" s="106" t="s">
        <v>73</v>
      </c>
      <c r="I127" s="106"/>
      <c r="J127" s="106"/>
      <c r="K127" s="110">
        <f>IF(A127="","",G127+I127+J127)</f>
        <v>28</v>
      </c>
      <c r="L127" s="112">
        <v>1</v>
      </c>
      <c r="M127" s="110">
        <f>IF(A127="","",IFERROR(K127/L127,""))</f>
        <v>28</v>
      </c>
      <c r="N127" s="8" t="s">
        <v>159</v>
      </c>
      <c r="O127" s="4" t="s">
        <v>160</v>
      </c>
      <c r="P127" s="8" t="s">
        <v>161</v>
      </c>
      <c r="Q127" s="74" t="s">
        <v>162</v>
      </c>
      <c r="R127" s="76" t="s">
        <v>162</v>
      </c>
      <c r="S127" s="74" t="s">
        <v>162</v>
      </c>
      <c r="T127" s="76" t="s">
        <v>73</v>
      </c>
      <c r="U127" s="8"/>
      <c r="V127" s="68" t="s">
        <v>632</v>
      </c>
      <c r="W127" s="68" t="s">
        <v>633</v>
      </c>
      <c r="X127" s="10"/>
    </row>
    <row r="128" spans="1:24" ht="43" customHeight="1">
      <c r="A128" s="88">
        <v>126</v>
      </c>
      <c r="B128" s="56" t="s">
        <v>131</v>
      </c>
      <c r="C128" s="36" t="s">
        <v>156</v>
      </c>
      <c r="D128" s="82" t="s">
        <v>634</v>
      </c>
      <c r="E128" s="72" t="s">
        <v>635</v>
      </c>
      <c r="F128" s="53">
        <v>45888</v>
      </c>
      <c r="G128" s="105">
        <v>68</v>
      </c>
      <c r="H128" s="105" t="s">
        <v>73</v>
      </c>
      <c r="I128" s="105"/>
      <c r="J128" s="105"/>
      <c r="K128" s="110">
        <f>IF(A128="","",G128+I128+J128)</f>
        <v>68</v>
      </c>
      <c r="L128" s="115">
        <v>1</v>
      </c>
      <c r="M128" s="110">
        <f>IF(A128="","",IFERROR(K128/L128,""))</f>
        <v>68</v>
      </c>
      <c r="N128" s="36" t="s">
        <v>159</v>
      </c>
      <c r="O128" s="82" t="s">
        <v>160</v>
      </c>
      <c r="P128" s="36" t="s">
        <v>161</v>
      </c>
      <c r="Q128" s="117" t="s">
        <v>162</v>
      </c>
      <c r="R128" s="75" t="s">
        <v>162</v>
      </c>
      <c r="S128" s="117" t="s">
        <v>162</v>
      </c>
      <c r="T128" s="75" t="s">
        <v>73</v>
      </c>
      <c r="U128" s="36"/>
      <c r="V128" s="103" t="s">
        <v>636</v>
      </c>
      <c r="W128" s="103" t="s">
        <v>637</v>
      </c>
      <c r="X128" s="38"/>
    </row>
    <row r="129" spans="1:24" ht="43" customHeight="1">
      <c r="A129" s="87">
        <v>127</v>
      </c>
      <c r="B129" s="57" t="s">
        <v>131</v>
      </c>
      <c r="C129" s="8" t="s">
        <v>156</v>
      </c>
      <c r="D129" s="4" t="s">
        <v>638</v>
      </c>
      <c r="E129" s="73" t="s">
        <v>639</v>
      </c>
      <c r="F129" s="14">
        <v>46253</v>
      </c>
      <c r="G129" s="106">
        <v>45</v>
      </c>
      <c r="H129" s="106" t="s">
        <v>73</v>
      </c>
      <c r="I129" s="106"/>
      <c r="J129" s="106"/>
      <c r="K129" s="110">
        <f>IF(A129="","",G129+I129+J129)</f>
        <v>45</v>
      </c>
      <c r="L129" s="112">
        <v>1</v>
      </c>
      <c r="M129" s="110">
        <f>IF(A129="","",IFERROR(K129/L129,""))</f>
        <v>45</v>
      </c>
      <c r="N129" s="8" t="s">
        <v>159</v>
      </c>
      <c r="O129" s="4" t="s">
        <v>160</v>
      </c>
      <c r="P129" s="8" t="s">
        <v>161</v>
      </c>
      <c r="Q129" s="74" t="s">
        <v>162</v>
      </c>
      <c r="R129" s="76" t="s">
        <v>162</v>
      </c>
      <c r="S129" s="74" t="s">
        <v>162</v>
      </c>
      <c r="T129" s="76" t="s">
        <v>73</v>
      </c>
      <c r="U129" s="8"/>
      <c r="V129" s="68" t="s">
        <v>640</v>
      </c>
      <c r="W129" s="68" t="s">
        <v>641</v>
      </c>
      <c r="X129" s="10"/>
    </row>
    <row r="130" spans="1:24" ht="43" customHeight="1">
      <c r="A130" s="88">
        <v>128</v>
      </c>
      <c r="B130" s="56" t="s">
        <v>131</v>
      </c>
      <c r="C130" s="36" t="s">
        <v>156</v>
      </c>
      <c r="D130" s="82" t="s">
        <v>642</v>
      </c>
      <c r="E130" s="72" t="s">
        <v>643</v>
      </c>
      <c r="F130" s="53" t="s">
        <v>644</v>
      </c>
      <c r="G130" s="105">
        <v>35</v>
      </c>
      <c r="H130" s="105" t="s">
        <v>73</v>
      </c>
      <c r="I130" s="105">
        <v>0</v>
      </c>
      <c r="J130" s="105">
        <v>0</v>
      </c>
      <c r="K130" s="110">
        <f t="shared" ref="K130:K136" si="8">IF(OR(G130="",G130=0),"",G130+IF(I130="",0,I130)+IF(J130="",0,J130))</f>
        <v>35</v>
      </c>
      <c r="L130" s="113">
        <v>1</v>
      </c>
      <c r="M130" s="110">
        <f t="shared" ref="M130:M136" si="9">IF(OR(K130="",L130=0),"",K130/L130)</f>
        <v>35</v>
      </c>
      <c r="N130" s="36" t="s">
        <v>159</v>
      </c>
      <c r="O130" s="36" t="s">
        <v>160</v>
      </c>
      <c r="P130" s="36" t="s">
        <v>161</v>
      </c>
      <c r="Q130" s="75" t="s">
        <v>73</v>
      </c>
      <c r="R130" s="75" t="s">
        <v>162</v>
      </c>
      <c r="S130" s="75" t="s">
        <v>162</v>
      </c>
      <c r="T130" s="75" t="s">
        <v>73</v>
      </c>
      <c r="U130" s="36"/>
      <c r="V130" s="103" t="s">
        <v>645</v>
      </c>
      <c r="W130" s="103" t="s">
        <v>646</v>
      </c>
      <c r="X130" s="38"/>
    </row>
    <row r="131" spans="1:24" ht="43" customHeight="1">
      <c r="A131" s="87">
        <v>129</v>
      </c>
      <c r="B131" s="57" t="s">
        <v>131</v>
      </c>
      <c r="C131" s="8" t="s">
        <v>156</v>
      </c>
      <c r="D131" s="8" t="s">
        <v>647</v>
      </c>
      <c r="E131" s="98" t="s">
        <v>648</v>
      </c>
      <c r="F131" s="14" t="s">
        <v>644</v>
      </c>
      <c r="G131" s="106">
        <v>40</v>
      </c>
      <c r="H131" s="106" t="s">
        <v>73</v>
      </c>
      <c r="I131" s="106">
        <v>0</v>
      </c>
      <c r="J131" s="106">
        <v>0</v>
      </c>
      <c r="K131" s="110">
        <f t="shared" si="8"/>
        <v>40</v>
      </c>
      <c r="L131" s="114">
        <v>1</v>
      </c>
      <c r="M131" s="110">
        <f t="shared" si="9"/>
        <v>40</v>
      </c>
      <c r="N131" s="8" t="s">
        <v>159</v>
      </c>
      <c r="O131" s="8" t="s">
        <v>160</v>
      </c>
      <c r="P131" s="8" t="s">
        <v>290</v>
      </c>
      <c r="Q131" s="76" t="s">
        <v>73</v>
      </c>
      <c r="R131" s="76" t="s">
        <v>162</v>
      </c>
      <c r="S131" s="76" t="s">
        <v>162</v>
      </c>
      <c r="T131" s="76" t="s">
        <v>73</v>
      </c>
      <c r="U131" s="8"/>
      <c r="V131" s="68" t="s">
        <v>649</v>
      </c>
      <c r="W131" s="68" t="s">
        <v>650</v>
      </c>
      <c r="X131" s="10"/>
    </row>
    <row r="132" spans="1:24" ht="43" customHeight="1">
      <c r="A132" s="88">
        <v>130</v>
      </c>
      <c r="B132" s="56" t="s">
        <v>131</v>
      </c>
      <c r="C132" s="36" t="s">
        <v>156</v>
      </c>
      <c r="D132" s="36" t="s">
        <v>651</v>
      </c>
      <c r="E132" s="97" t="s">
        <v>652</v>
      </c>
      <c r="F132" s="53" t="s">
        <v>644</v>
      </c>
      <c r="G132" s="105">
        <v>50</v>
      </c>
      <c r="H132" s="105" t="s">
        <v>73</v>
      </c>
      <c r="I132" s="105"/>
      <c r="J132" s="105">
        <v>0</v>
      </c>
      <c r="K132" s="110">
        <f t="shared" si="8"/>
        <v>50</v>
      </c>
      <c r="L132" s="113">
        <v>1</v>
      </c>
      <c r="M132" s="110">
        <f t="shared" si="9"/>
        <v>50</v>
      </c>
      <c r="N132" s="36" t="s">
        <v>159</v>
      </c>
      <c r="O132" s="36" t="s">
        <v>160</v>
      </c>
      <c r="P132" s="36" t="s">
        <v>177</v>
      </c>
      <c r="Q132" s="75" t="s">
        <v>73</v>
      </c>
      <c r="R132" s="75" t="s">
        <v>162</v>
      </c>
      <c r="S132" s="75" t="s">
        <v>162</v>
      </c>
      <c r="T132" s="75" t="s">
        <v>73</v>
      </c>
      <c r="U132" s="36"/>
      <c r="V132" s="103" t="s">
        <v>653</v>
      </c>
      <c r="W132" s="103" t="s">
        <v>654</v>
      </c>
      <c r="X132" s="38"/>
    </row>
    <row r="133" spans="1:24" ht="43" customHeight="1">
      <c r="A133" s="87">
        <v>131</v>
      </c>
      <c r="B133" s="57" t="s">
        <v>131</v>
      </c>
      <c r="C133" s="8" t="s">
        <v>156</v>
      </c>
      <c r="D133" s="8" t="s">
        <v>655</v>
      </c>
      <c r="E133" s="98" t="s">
        <v>656</v>
      </c>
      <c r="F133" s="14" t="s">
        <v>644</v>
      </c>
      <c r="G133" s="106">
        <v>35</v>
      </c>
      <c r="H133" s="106" t="s">
        <v>73</v>
      </c>
      <c r="I133" s="106"/>
      <c r="J133" s="106">
        <v>0</v>
      </c>
      <c r="K133" s="110">
        <f t="shared" si="8"/>
        <v>35</v>
      </c>
      <c r="L133" s="114">
        <v>1</v>
      </c>
      <c r="M133" s="110">
        <f t="shared" si="9"/>
        <v>35</v>
      </c>
      <c r="N133" s="8" t="s">
        <v>159</v>
      </c>
      <c r="O133" s="8" t="s">
        <v>160</v>
      </c>
      <c r="P133" s="8" t="s">
        <v>161</v>
      </c>
      <c r="Q133" s="76" t="s">
        <v>73</v>
      </c>
      <c r="R133" s="76" t="s">
        <v>162</v>
      </c>
      <c r="S133" s="76" t="s">
        <v>162</v>
      </c>
      <c r="T133" s="76" t="s">
        <v>73</v>
      </c>
      <c r="U133" s="8"/>
      <c r="V133" s="68" t="s">
        <v>657</v>
      </c>
      <c r="W133" s="68" t="s">
        <v>658</v>
      </c>
      <c r="X133" s="10"/>
    </row>
    <row r="134" spans="1:24" ht="43" customHeight="1">
      <c r="A134" s="88">
        <v>132</v>
      </c>
      <c r="B134" s="56" t="s">
        <v>131</v>
      </c>
      <c r="C134" s="36" t="s">
        <v>156</v>
      </c>
      <c r="D134" s="36" t="s">
        <v>647</v>
      </c>
      <c r="E134" s="97" t="s">
        <v>659</v>
      </c>
      <c r="F134" s="53" t="s">
        <v>644</v>
      </c>
      <c r="G134" s="105">
        <v>35</v>
      </c>
      <c r="H134" s="105" t="s">
        <v>73</v>
      </c>
      <c r="I134" s="105">
        <v>0</v>
      </c>
      <c r="J134" s="105">
        <v>0</v>
      </c>
      <c r="K134" s="110">
        <f t="shared" si="8"/>
        <v>35</v>
      </c>
      <c r="L134" s="113">
        <v>1</v>
      </c>
      <c r="M134" s="110">
        <f t="shared" si="9"/>
        <v>35</v>
      </c>
      <c r="N134" s="36" t="s">
        <v>159</v>
      </c>
      <c r="O134" s="36" t="s">
        <v>160</v>
      </c>
      <c r="P134" s="36" t="s">
        <v>161</v>
      </c>
      <c r="Q134" s="75" t="s">
        <v>73</v>
      </c>
      <c r="R134" s="75" t="s">
        <v>162</v>
      </c>
      <c r="S134" s="75" t="s">
        <v>162</v>
      </c>
      <c r="T134" s="75" t="s">
        <v>73</v>
      </c>
      <c r="U134" s="36"/>
      <c r="V134" s="103" t="s">
        <v>660</v>
      </c>
      <c r="W134" s="103" t="s">
        <v>661</v>
      </c>
      <c r="X134" s="38"/>
    </row>
    <row r="135" spans="1:24" ht="43" customHeight="1">
      <c r="A135" s="87">
        <v>133</v>
      </c>
      <c r="B135" s="57" t="s">
        <v>131</v>
      </c>
      <c r="C135" s="8" t="s">
        <v>156</v>
      </c>
      <c r="D135" s="8" t="s">
        <v>662</v>
      </c>
      <c r="E135" s="98" t="s">
        <v>663</v>
      </c>
      <c r="F135" s="14" t="s">
        <v>644</v>
      </c>
      <c r="G135" s="106">
        <v>37</v>
      </c>
      <c r="H135" s="106" t="s">
        <v>73</v>
      </c>
      <c r="I135" s="106"/>
      <c r="J135" s="106">
        <v>0</v>
      </c>
      <c r="K135" s="110">
        <f t="shared" si="8"/>
        <v>37</v>
      </c>
      <c r="L135" s="114">
        <v>1</v>
      </c>
      <c r="M135" s="110">
        <f t="shared" si="9"/>
        <v>37</v>
      </c>
      <c r="N135" s="8" t="s">
        <v>159</v>
      </c>
      <c r="O135" s="8" t="s">
        <v>160</v>
      </c>
      <c r="P135" s="8" t="s">
        <v>161</v>
      </c>
      <c r="Q135" s="76" t="s">
        <v>73</v>
      </c>
      <c r="R135" s="76" t="s">
        <v>162</v>
      </c>
      <c r="S135" s="76" t="s">
        <v>162</v>
      </c>
      <c r="T135" s="76" t="s">
        <v>73</v>
      </c>
      <c r="U135" s="8"/>
      <c r="V135" s="68" t="s">
        <v>664</v>
      </c>
      <c r="W135" s="68" t="s">
        <v>665</v>
      </c>
      <c r="X135" s="10"/>
    </row>
    <row r="136" spans="1:24" ht="43" customHeight="1">
      <c r="A136" s="88">
        <v>134</v>
      </c>
      <c r="B136" s="56" t="s">
        <v>131</v>
      </c>
      <c r="C136" s="36" t="s">
        <v>156</v>
      </c>
      <c r="D136" s="36" t="s">
        <v>666</v>
      </c>
      <c r="E136" s="97" t="s">
        <v>667</v>
      </c>
      <c r="F136" s="53" t="s">
        <v>644</v>
      </c>
      <c r="G136" s="105">
        <v>30</v>
      </c>
      <c r="H136" s="105" t="s">
        <v>162</v>
      </c>
      <c r="I136" s="105">
        <v>8</v>
      </c>
      <c r="J136" s="105">
        <v>0</v>
      </c>
      <c r="K136" s="110">
        <f t="shared" si="8"/>
        <v>38</v>
      </c>
      <c r="L136" s="113">
        <v>1</v>
      </c>
      <c r="M136" s="110">
        <f t="shared" si="9"/>
        <v>38</v>
      </c>
      <c r="N136" s="36" t="s">
        <v>159</v>
      </c>
      <c r="O136" s="36" t="s">
        <v>160</v>
      </c>
      <c r="P136" s="36" t="s">
        <v>161</v>
      </c>
      <c r="Q136" s="75" t="s">
        <v>73</v>
      </c>
      <c r="R136" s="75" t="s">
        <v>162</v>
      </c>
      <c r="S136" s="75" t="s">
        <v>162</v>
      </c>
      <c r="T136" s="75" t="s">
        <v>73</v>
      </c>
      <c r="U136" s="36"/>
      <c r="V136" s="103" t="s">
        <v>668</v>
      </c>
      <c r="W136" s="103" t="s">
        <v>669</v>
      </c>
      <c r="X136" s="38"/>
    </row>
    <row r="137" spans="1:24" ht="43" customHeight="1">
      <c r="A137" s="89"/>
      <c r="B137" s="57"/>
      <c r="C137" s="8"/>
      <c r="D137" s="8"/>
      <c r="E137" s="73"/>
      <c r="F137" s="14"/>
      <c r="G137" s="106"/>
      <c r="H137" s="106"/>
      <c r="I137" s="106"/>
      <c r="J137" s="106"/>
      <c r="K137" s="110" t="str">
        <f t="shared" ref="K137:K168" si="10">IF(A137="","",G137+I137+J137)</f>
        <v/>
      </c>
      <c r="L137" s="114"/>
      <c r="M137" s="110" t="str">
        <f t="shared" ref="M137:M168" si="11">IF(A137="","",IFERROR(K137/L137,""))</f>
        <v/>
      </c>
      <c r="N137" s="8" t="s">
        <v>159</v>
      </c>
      <c r="O137" s="8"/>
      <c r="P137" s="8"/>
      <c r="Q137" s="76"/>
      <c r="R137" s="76"/>
      <c r="S137" s="76"/>
      <c r="T137" s="76"/>
      <c r="U137" s="8"/>
      <c r="V137" s="70"/>
      <c r="W137" s="70"/>
      <c r="X137" s="10"/>
    </row>
    <row r="138" spans="1:24" ht="43" customHeight="1">
      <c r="A138" s="90"/>
      <c r="B138" s="56"/>
      <c r="C138" s="36"/>
      <c r="D138" s="36"/>
      <c r="E138" s="72"/>
      <c r="F138" s="53"/>
      <c r="G138" s="105"/>
      <c r="H138" s="105"/>
      <c r="I138" s="105"/>
      <c r="J138" s="105"/>
      <c r="K138" s="110" t="str">
        <f t="shared" si="10"/>
        <v/>
      </c>
      <c r="L138" s="113"/>
      <c r="M138" s="110" t="str">
        <f t="shared" si="11"/>
        <v/>
      </c>
      <c r="N138" s="36" t="s">
        <v>159</v>
      </c>
      <c r="O138" s="36"/>
      <c r="P138" s="36"/>
      <c r="Q138" s="75"/>
      <c r="R138" s="75"/>
      <c r="S138" s="75"/>
      <c r="T138" s="75"/>
      <c r="U138" s="36"/>
      <c r="V138" s="69"/>
      <c r="W138" s="69"/>
      <c r="X138" s="38"/>
    </row>
    <row r="139" spans="1:24" ht="43" customHeight="1">
      <c r="A139" s="89"/>
      <c r="B139" s="57"/>
      <c r="C139" s="8"/>
      <c r="D139" s="8"/>
      <c r="E139" s="73"/>
      <c r="F139" s="14"/>
      <c r="G139" s="106"/>
      <c r="H139" s="106"/>
      <c r="I139" s="106"/>
      <c r="J139" s="106"/>
      <c r="K139" s="110" t="str">
        <f t="shared" si="10"/>
        <v/>
      </c>
      <c r="L139" s="114"/>
      <c r="M139" s="110" t="str">
        <f t="shared" si="11"/>
        <v/>
      </c>
      <c r="N139" s="8" t="s">
        <v>159</v>
      </c>
      <c r="O139" s="8"/>
      <c r="P139" s="8"/>
      <c r="Q139" s="76"/>
      <c r="R139" s="76"/>
      <c r="S139" s="76"/>
      <c r="T139" s="76"/>
      <c r="U139" s="8"/>
      <c r="V139" s="70"/>
      <c r="W139" s="70"/>
      <c r="X139" s="10"/>
    </row>
    <row r="140" spans="1:24" ht="43" customHeight="1">
      <c r="A140" s="90"/>
      <c r="B140" s="56"/>
      <c r="C140" s="36"/>
      <c r="D140" s="36"/>
      <c r="E140" s="72"/>
      <c r="F140" s="53"/>
      <c r="G140" s="105"/>
      <c r="H140" s="105"/>
      <c r="I140" s="105"/>
      <c r="J140" s="105"/>
      <c r="K140" s="110" t="str">
        <f t="shared" si="10"/>
        <v/>
      </c>
      <c r="L140" s="113"/>
      <c r="M140" s="110" t="str">
        <f t="shared" si="11"/>
        <v/>
      </c>
      <c r="N140" s="36" t="s">
        <v>159</v>
      </c>
      <c r="O140" s="36"/>
      <c r="P140" s="36"/>
      <c r="Q140" s="75"/>
      <c r="R140" s="75"/>
      <c r="S140" s="75"/>
      <c r="T140" s="75"/>
      <c r="U140" s="36"/>
      <c r="V140" s="69"/>
      <c r="W140" s="69"/>
      <c r="X140" s="38"/>
    </row>
    <row r="141" spans="1:24" ht="43" customHeight="1">
      <c r="A141" s="89"/>
      <c r="B141" s="57"/>
      <c r="C141" s="8"/>
      <c r="D141" s="8"/>
      <c r="E141" s="73"/>
      <c r="F141" s="14"/>
      <c r="G141" s="106"/>
      <c r="H141" s="106"/>
      <c r="I141" s="106"/>
      <c r="J141" s="106"/>
      <c r="K141" s="110" t="str">
        <f t="shared" si="10"/>
        <v/>
      </c>
      <c r="L141" s="114"/>
      <c r="M141" s="110" t="str">
        <f t="shared" si="11"/>
        <v/>
      </c>
      <c r="N141" s="8" t="s">
        <v>159</v>
      </c>
      <c r="O141" s="8"/>
      <c r="P141" s="8"/>
      <c r="Q141" s="76"/>
      <c r="R141" s="76"/>
      <c r="S141" s="76"/>
      <c r="T141" s="76"/>
      <c r="U141" s="8"/>
      <c r="V141" s="70"/>
      <c r="W141" s="70"/>
      <c r="X141" s="10"/>
    </row>
    <row r="142" spans="1:24" ht="43" customHeight="1">
      <c r="A142" s="90"/>
      <c r="B142" s="56"/>
      <c r="C142" s="36"/>
      <c r="D142" s="36"/>
      <c r="E142" s="72"/>
      <c r="F142" s="53"/>
      <c r="G142" s="105"/>
      <c r="H142" s="105"/>
      <c r="I142" s="105"/>
      <c r="J142" s="105"/>
      <c r="K142" s="110" t="str">
        <f t="shared" si="10"/>
        <v/>
      </c>
      <c r="L142" s="113"/>
      <c r="M142" s="110" t="str">
        <f t="shared" si="11"/>
        <v/>
      </c>
      <c r="N142" s="36" t="s">
        <v>159</v>
      </c>
      <c r="O142" s="36"/>
      <c r="P142" s="36"/>
      <c r="Q142" s="75"/>
      <c r="R142" s="75"/>
      <c r="S142" s="75"/>
      <c r="T142" s="75"/>
      <c r="U142" s="36"/>
      <c r="V142" s="69"/>
      <c r="W142" s="69"/>
      <c r="X142" s="38"/>
    </row>
    <row r="143" spans="1:24" ht="43" customHeight="1">
      <c r="A143" s="89"/>
      <c r="B143" s="57"/>
      <c r="C143" s="8"/>
      <c r="D143" s="8"/>
      <c r="E143" s="73"/>
      <c r="F143" s="14"/>
      <c r="G143" s="106"/>
      <c r="H143" s="106"/>
      <c r="I143" s="106"/>
      <c r="J143" s="106"/>
      <c r="K143" s="110" t="str">
        <f t="shared" si="10"/>
        <v/>
      </c>
      <c r="L143" s="114"/>
      <c r="M143" s="110" t="str">
        <f t="shared" si="11"/>
        <v/>
      </c>
      <c r="N143" s="8" t="s">
        <v>159</v>
      </c>
      <c r="O143" s="8"/>
      <c r="P143" s="8"/>
      <c r="Q143" s="76"/>
      <c r="R143" s="76"/>
      <c r="S143" s="76"/>
      <c r="T143" s="76"/>
      <c r="U143" s="8"/>
      <c r="V143" s="70"/>
      <c r="W143" s="70"/>
      <c r="X143" s="10"/>
    </row>
    <row r="144" spans="1:24" ht="43" customHeight="1">
      <c r="A144" s="90"/>
      <c r="B144" s="56"/>
      <c r="C144" s="36"/>
      <c r="D144" s="36"/>
      <c r="E144" s="72"/>
      <c r="F144" s="53"/>
      <c r="G144" s="105"/>
      <c r="H144" s="105"/>
      <c r="I144" s="105"/>
      <c r="J144" s="105"/>
      <c r="K144" s="110" t="str">
        <f t="shared" si="10"/>
        <v/>
      </c>
      <c r="L144" s="113"/>
      <c r="M144" s="110" t="str">
        <f t="shared" si="11"/>
        <v/>
      </c>
      <c r="N144" s="36" t="s">
        <v>159</v>
      </c>
      <c r="O144" s="36"/>
      <c r="P144" s="36"/>
      <c r="Q144" s="75"/>
      <c r="R144" s="75"/>
      <c r="S144" s="75"/>
      <c r="T144" s="75"/>
      <c r="U144" s="36"/>
      <c r="V144" s="69"/>
      <c r="W144" s="69"/>
      <c r="X144" s="38"/>
    </row>
    <row r="145" spans="1:24" ht="43" customHeight="1">
      <c r="A145" s="89"/>
      <c r="B145" s="57"/>
      <c r="C145" s="8"/>
      <c r="D145" s="8"/>
      <c r="E145" s="73"/>
      <c r="F145" s="14"/>
      <c r="G145" s="106"/>
      <c r="H145" s="106"/>
      <c r="I145" s="106"/>
      <c r="J145" s="106"/>
      <c r="K145" s="110" t="str">
        <f t="shared" si="10"/>
        <v/>
      </c>
      <c r="L145" s="114"/>
      <c r="M145" s="110" t="str">
        <f t="shared" si="11"/>
        <v/>
      </c>
      <c r="N145" s="8" t="s">
        <v>159</v>
      </c>
      <c r="O145" s="8"/>
      <c r="P145" s="8"/>
      <c r="Q145" s="76"/>
      <c r="R145" s="76"/>
      <c r="S145" s="76"/>
      <c r="T145" s="76"/>
      <c r="U145" s="8"/>
      <c r="V145" s="70"/>
      <c r="W145" s="70"/>
      <c r="X145" s="10"/>
    </row>
    <row r="146" spans="1:24" ht="43" customHeight="1">
      <c r="A146" s="90"/>
      <c r="B146" s="56"/>
      <c r="C146" s="36"/>
      <c r="D146" s="36"/>
      <c r="E146" s="72"/>
      <c r="F146" s="53"/>
      <c r="G146" s="105"/>
      <c r="H146" s="105"/>
      <c r="I146" s="105"/>
      <c r="J146" s="105"/>
      <c r="K146" s="110" t="str">
        <f t="shared" si="10"/>
        <v/>
      </c>
      <c r="L146" s="113"/>
      <c r="M146" s="110" t="str">
        <f t="shared" si="11"/>
        <v/>
      </c>
      <c r="N146" s="36" t="s">
        <v>159</v>
      </c>
      <c r="O146" s="36"/>
      <c r="P146" s="36"/>
      <c r="Q146" s="75"/>
      <c r="R146" s="75"/>
      <c r="S146" s="75"/>
      <c r="T146" s="75"/>
      <c r="U146" s="36"/>
      <c r="V146" s="69"/>
      <c r="W146" s="69"/>
      <c r="X146" s="38"/>
    </row>
    <row r="147" spans="1:24" ht="43" customHeight="1">
      <c r="A147" s="89"/>
      <c r="B147" s="57"/>
      <c r="C147" s="8"/>
      <c r="D147" s="8"/>
      <c r="E147" s="73"/>
      <c r="F147" s="14"/>
      <c r="G147" s="106"/>
      <c r="H147" s="106"/>
      <c r="I147" s="106"/>
      <c r="J147" s="106"/>
      <c r="K147" s="110" t="str">
        <f t="shared" si="10"/>
        <v/>
      </c>
      <c r="L147" s="114"/>
      <c r="M147" s="110" t="str">
        <f t="shared" si="11"/>
        <v/>
      </c>
      <c r="N147" s="8" t="s">
        <v>159</v>
      </c>
      <c r="O147" s="8"/>
      <c r="P147" s="8"/>
      <c r="Q147" s="76"/>
      <c r="R147" s="76"/>
      <c r="S147" s="76"/>
      <c r="T147" s="76"/>
      <c r="U147" s="8"/>
      <c r="V147" s="70"/>
      <c r="W147" s="70"/>
      <c r="X147" s="10"/>
    </row>
    <row r="148" spans="1:24" ht="43" customHeight="1">
      <c r="A148" s="90"/>
      <c r="B148" s="56"/>
      <c r="C148" s="36"/>
      <c r="D148" s="36"/>
      <c r="E148" s="72"/>
      <c r="F148" s="53"/>
      <c r="G148" s="105"/>
      <c r="H148" s="105"/>
      <c r="I148" s="105"/>
      <c r="J148" s="105"/>
      <c r="K148" s="110" t="str">
        <f t="shared" si="10"/>
        <v/>
      </c>
      <c r="L148" s="113"/>
      <c r="M148" s="110" t="str">
        <f t="shared" si="11"/>
        <v/>
      </c>
      <c r="N148" s="36" t="s">
        <v>159</v>
      </c>
      <c r="O148" s="36"/>
      <c r="P148" s="36"/>
      <c r="Q148" s="75"/>
      <c r="R148" s="75"/>
      <c r="S148" s="75"/>
      <c r="T148" s="75"/>
      <c r="U148" s="36"/>
      <c r="V148" s="69"/>
      <c r="W148" s="69"/>
      <c r="X148" s="38"/>
    </row>
    <row r="149" spans="1:24" ht="43" customHeight="1">
      <c r="A149" s="89"/>
      <c r="B149" s="57"/>
      <c r="C149" s="8"/>
      <c r="D149" s="8"/>
      <c r="E149" s="73"/>
      <c r="F149" s="14"/>
      <c r="G149" s="106"/>
      <c r="H149" s="106"/>
      <c r="I149" s="106"/>
      <c r="J149" s="106"/>
      <c r="K149" s="110" t="str">
        <f t="shared" si="10"/>
        <v/>
      </c>
      <c r="L149" s="114"/>
      <c r="M149" s="110" t="str">
        <f t="shared" si="11"/>
        <v/>
      </c>
      <c r="N149" s="8" t="s">
        <v>159</v>
      </c>
      <c r="O149" s="8"/>
      <c r="P149" s="8"/>
      <c r="Q149" s="76"/>
      <c r="R149" s="76"/>
      <c r="S149" s="76"/>
      <c r="T149" s="76"/>
      <c r="U149" s="8"/>
      <c r="V149" s="70"/>
      <c r="W149" s="70"/>
      <c r="X149" s="10"/>
    </row>
    <row r="150" spans="1:24" ht="43" customHeight="1">
      <c r="A150" s="90"/>
      <c r="B150" s="56"/>
      <c r="C150" s="36"/>
      <c r="D150" s="36"/>
      <c r="E150" s="72"/>
      <c r="F150" s="53"/>
      <c r="G150" s="105"/>
      <c r="H150" s="105"/>
      <c r="I150" s="105"/>
      <c r="J150" s="105"/>
      <c r="K150" s="110" t="str">
        <f t="shared" si="10"/>
        <v/>
      </c>
      <c r="L150" s="113"/>
      <c r="M150" s="110" t="str">
        <f t="shared" si="11"/>
        <v/>
      </c>
      <c r="N150" s="36" t="s">
        <v>159</v>
      </c>
      <c r="O150" s="36"/>
      <c r="P150" s="36"/>
      <c r="Q150" s="75"/>
      <c r="R150" s="75"/>
      <c r="S150" s="75"/>
      <c r="T150" s="75"/>
      <c r="U150" s="36"/>
      <c r="V150" s="69"/>
      <c r="W150" s="69"/>
      <c r="X150" s="38"/>
    </row>
    <row r="151" spans="1:24" ht="43" customHeight="1">
      <c r="A151" s="89"/>
      <c r="B151" s="57"/>
      <c r="C151" s="8"/>
      <c r="D151" s="8"/>
      <c r="E151" s="73"/>
      <c r="F151" s="14"/>
      <c r="G151" s="106"/>
      <c r="H151" s="106"/>
      <c r="I151" s="106"/>
      <c r="J151" s="106"/>
      <c r="K151" s="110" t="str">
        <f t="shared" si="10"/>
        <v/>
      </c>
      <c r="L151" s="114"/>
      <c r="M151" s="110" t="str">
        <f t="shared" si="11"/>
        <v/>
      </c>
      <c r="N151" s="8" t="s">
        <v>159</v>
      </c>
      <c r="O151" s="8"/>
      <c r="P151" s="8"/>
      <c r="Q151" s="76"/>
      <c r="R151" s="76"/>
      <c r="S151" s="76"/>
      <c r="T151" s="76"/>
      <c r="U151" s="8"/>
      <c r="V151" s="70"/>
      <c r="W151" s="70"/>
      <c r="X151" s="10"/>
    </row>
    <row r="152" spans="1:24" ht="43" customHeight="1">
      <c r="A152" s="90"/>
      <c r="B152" s="56"/>
      <c r="C152" s="36"/>
      <c r="D152" s="36"/>
      <c r="E152" s="72"/>
      <c r="F152" s="53"/>
      <c r="G152" s="105"/>
      <c r="H152" s="105"/>
      <c r="I152" s="105"/>
      <c r="J152" s="105"/>
      <c r="K152" s="110" t="str">
        <f t="shared" si="10"/>
        <v/>
      </c>
      <c r="L152" s="113"/>
      <c r="M152" s="110" t="str">
        <f t="shared" si="11"/>
        <v/>
      </c>
      <c r="N152" s="36" t="s">
        <v>159</v>
      </c>
      <c r="O152" s="36"/>
      <c r="P152" s="36"/>
      <c r="Q152" s="75"/>
      <c r="R152" s="75"/>
      <c r="S152" s="75"/>
      <c r="T152" s="75"/>
      <c r="U152" s="36"/>
      <c r="V152" s="69"/>
      <c r="W152" s="69"/>
      <c r="X152" s="38"/>
    </row>
    <row r="153" spans="1:24" ht="43" customHeight="1">
      <c r="A153" s="89"/>
      <c r="B153" s="57"/>
      <c r="C153" s="8"/>
      <c r="D153" s="8"/>
      <c r="E153" s="73"/>
      <c r="F153" s="14"/>
      <c r="G153" s="106"/>
      <c r="H153" s="106"/>
      <c r="I153" s="106"/>
      <c r="J153" s="106"/>
      <c r="K153" s="110" t="str">
        <f t="shared" si="10"/>
        <v/>
      </c>
      <c r="L153" s="114"/>
      <c r="M153" s="110" t="str">
        <f t="shared" si="11"/>
        <v/>
      </c>
      <c r="N153" s="8" t="s">
        <v>159</v>
      </c>
      <c r="O153" s="8"/>
      <c r="P153" s="8"/>
      <c r="Q153" s="76"/>
      <c r="R153" s="76"/>
      <c r="S153" s="76"/>
      <c r="T153" s="76"/>
      <c r="U153" s="8"/>
      <c r="V153" s="70"/>
      <c r="W153" s="70"/>
      <c r="X153" s="10"/>
    </row>
    <row r="154" spans="1:24" ht="43" customHeight="1">
      <c r="A154" s="90"/>
      <c r="B154" s="56"/>
      <c r="C154" s="36"/>
      <c r="D154" s="36"/>
      <c r="E154" s="72"/>
      <c r="F154" s="53"/>
      <c r="G154" s="105"/>
      <c r="H154" s="105"/>
      <c r="I154" s="105"/>
      <c r="J154" s="105"/>
      <c r="K154" s="110" t="str">
        <f t="shared" si="10"/>
        <v/>
      </c>
      <c r="L154" s="113"/>
      <c r="M154" s="110" t="str">
        <f t="shared" si="11"/>
        <v/>
      </c>
      <c r="N154" s="36" t="s">
        <v>159</v>
      </c>
      <c r="O154" s="36"/>
      <c r="P154" s="36"/>
      <c r="Q154" s="75"/>
      <c r="R154" s="75"/>
      <c r="S154" s="75"/>
      <c r="T154" s="75"/>
      <c r="U154" s="36"/>
      <c r="V154" s="69"/>
      <c r="W154" s="69"/>
      <c r="X154" s="38"/>
    </row>
    <row r="155" spans="1:24" ht="43" customHeight="1">
      <c r="A155" s="89"/>
      <c r="B155" s="57"/>
      <c r="C155" s="8"/>
      <c r="D155" s="8"/>
      <c r="E155" s="73"/>
      <c r="F155" s="14"/>
      <c r="G155" s="106"/>
      <c r="H155" s="106"/>
      <c r="I155" s="106"/>
      <c r="J155" s="106"/>
      <c r="K155" s="110" t="str">
        <f t="shared" si="10"/>
        <v/>
      </c>
      <c r="L155" s="114"/>
      <c r="M155" s="110" t="str">
        <f t="shared" si="11"/>
        <v/>
      </c>
      <c r="N155" s="8" t="s">
        <v>159</v>
      </c>
      <c r="O155" s="8"/>
      <c r="P155" s="8"/>
      <c r="Q155" s="76"/>
      <c r="R155" s="76"/>
      <c r="S155" s="76"/>
      <c r="T155" s="76"/>
      <c r="U155" s="8"/>
      <c r="V155" s="70"/>
      <c r="W155" s="70"/>
      <c r="X155" s="10"/>
    </row>
    <row r="156" spans="1:24" ht="43" customHeight="1">
      <c r="A156" s="90"/>
      <c r="B156" s="56"/>
      <c r="C156" s="36"/>
      <c r="D156" s="36"/>
      <c r="E156" s="72"/>
      <c r="F156" s="53"/>
      <c r="G156" s="105"/>
      <c r="H156" s="105"/>
      <c r="I156" s="105"/>
      <c r="J156" s="105"/>
      <c r="K156" s="110" t="str">
        <f t="shared" si="10"/>
        <v/>
      </c>
      <c r="L156" s="113"/>
      <c r="M156" s="110" t="str">
        <f t="shared" si="11"/>
        <v/>
      </c>
      <c r="N156" s="36" t="s">
        <v>159</v>
      </c>
      <c r="O156" s="36"/>
      <c r="P156" s="36"/>
      <c r="Q156" s="75"/>
      <c r="R156" s="75"/>
      <c r="S156" s="75"/>
      <c r="T156" s="75"/>
      <c r="U156" s="36"/>
      <c r="V156" s="69"/>
      <c r="W156" s="69"/>
      <c r="X156" s="38"/>
    </row>
    <row r="157" spans="1:24" ht="43" customHeight="1">
      <c r="A157" s="89"/>
      <c r="B157" s="57"/>
      <c r="C157" s="8"/>
      <c r="D157" s="8"/>
      <c r="E157" s="73"/>
      <c r="F157" s="14"/>
      <c r="G157" s="106"/>
      <c r="H157" s="106"/>
      <c r="I157" s="106"/>
      <c r="J157" s="106"/>
      <c r="K157" s="110" t="str">
        <f t="shared" si="10"/>
        <v/>
      </c>
      <c r="L157" s="114"/>
      <c r="M157" s="110" t="str">
        <f t="shared" si="11"/>
        <v/>
      </c>
      <c r="N157" s="8" t="s">
        <v>159</v>
      </c>
      <c r="O157" s="8"/>
      <c r="P157" s="8"/>
      <c r="Q157" s="76"/>
      <c r="R157" s="76"/>
      <c r="S157" s="76"/>
      <c r="T157" s="76"/>
      <c r="U157" s="8"/>
      <c r="V157" s="70"/>
      <c r="W157" s="70"/>
      <c r="X157" s="10"/>
    </row>
    <row r="158" spans="1:24" ht="43" customHeight="1">
      <c r="A158" s="90"/>
      <c r="B158" s="56"/>
      <c r="C158" s="36"/>
      <c r="D158" s="36"/>
      <c r="E158" s="72"/>
      <c r="F158" s="53"/>
      <c r="G158" s="105"/>
      <c r="H158" s="105"/>
      <c r="I158" s="105"/>
      <c r="J158" s="105"/>
      <c r="K158" s="110" t="str">
        <f t="shared" si="10"/>
        <v/>
      </c>
      <c r="L158" s="113"/>
      <c r="M158" s="110" t="str">
        <f t="shared" si="11"/>
        <v/>
      </c>
      <c r="N158" s="36" t="s">
        <v>159</v>
      </c>
      <c r="O158" s="36"/>
      <c r="P158" s="36"/>
      <c r="Q158" s="75"/>
      <c r="R158" s="75"/>
      <c r="S158" s="75"/>
      <c r="T158" s="75"/>
      <c r="U158" s="36"/>
      <c r="V158" s="69"/>
      <c r="W158" s="69"/>
      <c r="X158" s="38"/>
    </row>
    <row r="159" spans="1:24" ht="43" customHeight="1">
      <c r="A159" s="89"/>
      <c r="B159" s="57"/>
      <c r="C159" s="8"/>
      <c r="D159" s="8"/>
      <c r="E159" s="73"/>
      <c r="F159" s="14"/>
      <c r="G159" s="106"/>
      <c r="H159" s="106"/>
      <c r="I159" s="106"/>
      <c r="J159" s="106"/>
      <c r="K159" s="110" t="str">
        <f t="shared" si="10"/>
        <v/>
      </c>
      <c r="L159" s="114"/>
      <c r="M159" s="110" t="str">
        <f t="shared" si="11"/>
        <v/>
      </c>
      <c r="N159" s="8" t="s">
        <v>159</v>
      </c>
      <c r="O159" s="8"/>
      <c r="P159" s="8"/>
      <c r="Q159" s="76"/>
      <c r="R159" s="76"/>
      <c r="S159" s="76"/>
      <c r="T159" s="76"/>
      <c r="U159" s="8"/>
      <c r="V159" s="70"/>
      <c r="W159" s="70"/>
      <c r="X159" s="10"/>
    </row>
    <row r="160" spans="1:24" ht="43" customHeight="1">
      <c r="A160" s="90"/>
      <c r="B160" s="56"/>
      <c r="C160" s="36"/>
      <c r="D160" s="36"/>
      <c r="E160" s="72"/>
      <c r="F160" s="53"/>
      <c r="G160" s="105"/>
      <c r="H160" s="105"/>
      <c r="I160" s="105"/>
      <c r="J160" s="105"/>
      <c r="K160" s="110" t="str">
        <f t="shared" si="10"/>
        <v/>
      </c>
      <c r="L160" s="113"/>
      <c r="M160" s="110" t="str">
        <f t="shared" si="11"/>
        <v/>
      </c>
      <c r="N160" s="36" t="s">
        <v>159</v>
      </c>
      <c r="O160" s="36"/>
      <c r="P160" s="36"/>
      <c r="Q160" s="75"/>
      <c r="R160" s="75"/>
      <c r="S160" s="75"/>
      <c r="T160" s="75"/>
      <c r="U160" s="36"/>
      <c r="V160" s="69"/>
      <c r="W160" s="69"/>
      <c r="X160" s="38"/>
    </row>
    <row r="161" spans="1:24" ht="43" customHeight="1">
      <c r="A161" s="89"/>
      <c r="B161" s="57"/>
      <c r="C161" s="8"/>
      <c r="D161" s="8"/>
      <c r="E161" s="73"/>
      <c r="F161" s="14"/>
      <c r="G161" s="106"/>
      <c r="H161" s="106"/>
      <c r="I161" s="106"/>
      <c r="J161" s="106"/>
      <c r="K161" s="110" t="str">
        <f t="shared" si="10"/>
        <v/>
      </c>
      <c r="L161" s="114"/>
      <c r="M161" s="110" t="str">
        <f t="shared" si="11"/>
        <v/>
      </c>
      <c r="N161" s="8" t="s">
        <v>159</v>
      </c>
      <c r="O161" s="8"/>
      <c r="P161" s="8"/>
      <c r="Q161" s="76"/>
      <c r="R161" s="76"/>
      <c r="S161" s="76"/>
      <c r="T161" s="76"/>
      <c r="U161" s="8"/>
      <c r="V161" s="70"/>
      <c r="W161" s="70"/>
      <c r="X161" s="10"/>
    </row>
    <row r="162" spans="1:24" ht="43" customHeight="1">
      <c r="A162" s="90"/>
      <c r="B162" s="56"/>
      <c r="C162" s="36"/>
      <c r="D162" s="36"/>
      <c r="E162" s="72"/>
      <c r="F162" s="53"/>
      <c r="G162" s="105"/>
      <c r="H162" s="105"/>
      <c r="I162" s="105"/>
      <c r="J162" s="105"/>
      <c r="K162" s="110" t="str">
        <f t="shared" si="10"/>
        <v/>
      </c>
      <c r="L162" s="113"/>
      <c r="M162" s="110" t="str">
        <f t="shared" si="11"/>
        <v/>
      </c>
      <c r="N162" s="36" t="s">
        <v>159</v>
      </c>
      <c r="O162" s="36"/>
      <c r="P162" s="36"/>
      <c r="Q162" s="75"/>
      <c r="R162" s="75"/>
      <c r="S162" s="75"/>
      <c r="T162" s="75"/>
      <c r="U162" s="36"/>
      <c r="V162" s="69"/>
      <c r="W162" s="69"/>
      <c r="X162" s="38"/>
    </row>
    <row r="163" spans="1:24" ht="43" customHeight="1">
      <c r="A163" s="89"/>
      <c r="B163" s="57"/>
      <c r="C163" s="8"/>
      <c r="D163" s="8"/>
      <c r="E163" s="73"/>
      <c r="F163" s="14"/>
      <c r="G163" s="106"/>
      <c r="H163" s="106"/>
      <c r="I163" s="106"/>
      <c r="J163" s="106"/>
      <c r="K163" s="110" t="str">
        <f t="shared" si="10"/>
        <v/>
      </c>
      <c r="L163" s="114"/>
      <c r="M163" s="110" t="str">
        <f t="shared" si="11"/>
        <v/>
      </c>
      <c r="N163" s="8" t="s">
        <v>159</v>
      </c>
      <c r="O163" s="8"/>
      <c r="P163" s="8"/>
      <c r="Q163" s="76"/>
      <c r="R163" s="76"/>
      <c r="S163" s="76"/>
      <c r="T163" s="76"/>
      <c r="U163" s="8"/>
      <c r="V163" s="70"/>
      <c r="W163" s="70"/>
      <c r="X163" s="10"/>
    </row>
    <row r="164" spans="1:24" ht="43" customHeight="1">
      <c r="A164" s="90"/>
      <c r="B164" s="56"/>
      <c r="C164" s="36"/>
      <c r="D164" s="36"/>
      <c r="E164" s="72"/>
      <c r="F164" s="53"/>
      <c r="G164" s="105"/>
      <c r="H164" s="105"/>
      <c r="I164" s="105"/>
      <c r="J164" s="105"/>
      <c r="K164" s="110" t="str">
        <f t="shared" si="10"/>
        <v/>
      </c>
      <c r="L164" s="113"/>
      <c r="M164" s="110" t="str">
        <f t="shared" si="11"/>
        <v/>
      </c>
      <c r="N164" s="36" t="s">
        <v>159</v>
      </c>
      <c r="O164" s="36"/>
      <c r="P164" s="36"/>
      <c r="Q164" s="75"/>
      <c r="R164" s="75"/>
      <c r="S164" s="75"/>
      <c r="T164" s="75"/>
      <c r="U164" s="36"/>
      <c r="V164" s="69"/>
      <c r="W164" s="69"/>
      <c r="X164" s="38"/>
    </row>
    <row r="165" spans="1:24" ht="43" customHeight="1">
      <c r="A165" s="89"/>
      <c r="B165" s="57"/>
      <c r="C165" s="8"/>
      <c r="D165" s="8"/>
      <c r="E165" s="73"/>
      <c r="F165" s="14"/>
      <c r="G165" s="106"/>
      <c r="H165" s="106"/>
      <c r="I165" s="106"/>
      <c r="J165" s="106"/>
      <c r="K165" s="110" t="str">
        <f t="shared" si="10"/>
        <v/>
      </c>
      <c r="L165" s="114"/>
      <c r="M165" s="110" t="str">
        <f t="shared" si="11"/>
        <v/>
      </c>
      <c r="N165" s="8" t="s">
        <v>159</v>
      </c>
      <c r="O165" s="8"/>
      <c r="P165" s="8"/>
      <c r="Q165" s="76"/>
      <c r="R165" s="76"/>
      <c r="S165" s="76"/>
      <c r="T165" s="76"/>
      <c r="U165" s="8"/>
      <c r="V165" s="70"/>
      <c r="W165" s="70"/>
      <c r="X165" s="10"/>
    </row>
    <row r="166" spans="1:24" ht="43" customHeight="1">
      <c r="A166" s="90"/>
      <c r="B166" s="56"/>
      <c r="C166" s="36"/>
      <c r="D166" s="36"/>
      <c r="E166" s="72"/>
      <c r="F166" s="53"/>
      <c r="G166" s="105"/>
      <c r="H166" s="105"/>
      <c r="I166" s="105"/>
      <c r="J166" s="105"/>
      <c r="K166" s="110" t="str">
        <f t="shared" si="10"/>
        <v/>
      </c>
      <c r="L166" s="113"/>
      <c r="M166" s="110" t="str">
        <f t="shared" si="11"/>
        <v/>
      </c>
      <c r="N166" s="36" t="s">
        <v>159</v>
      </c>
      <c r="O166" s="36"/>
      <c r="P166" s="36"/>
      <c r="Q166" s="75"/>
      <c r="R166" s="75"/>
      <c r="S166" s="75"/>
      <c r="T166" s="75"/>
      <c r="U166" s="36"/>
      <c r="V166" s="69"/>
      <c r="W166" s="69"/>
      <c r="X166" s="38"/>
    </row>
    <row r="167" spans="1:24" ht="43" customHeight="1">
      <c r="A167" s="89"/>
      <c r="B167" s="57"/>
      <c r="C167" s="8"/>
      <c r="D167" s="8"/>
      <c r="E167" s="73"/>
      <c r="F167" s="14"/>
      <c r="G167" s="106"/>
      <c r="H167" s="106"/>
      <c r="I167" s="106"/>
      <c r="J167" s="106"/>
      <c r="K167" s="110" t="str">
        <f t="shared" si="10"/>
        <v/>
      </c>
      <c r="L167" s="114"/>
      <c r="M167" s="110" t="str">
        <f t="shared" si="11"/>
        <v/>
      </c>
      <c r="N167" s="8" t="s">
        <v>159</v>
      </c>
      <c r="O167" s="8"/>
      <c r="P167" s="8"/>
      <c r="Q167" s="76"/>
      <c r="R167" s="76"/>
      <c r="S167" s="76"/>
      <c r="T167" s="76"/>
      <c r="U167" s="8"/>
      <c r="V167" s="70"/>
      <c r="W167" s="70"/>
      <c r="X167" s="10"/>
    </row>
    <row r="168" spans="1:24" ht="43" customHeight="1">
      <c r="A168" s="90"/>
      <c r="B168" s="56"/>
      <c r="C168" s="36"/>
      <c r="D168" s="36"/>
      <c r="E168" s="72"/>
      <c r="F168" s="53"/>
      <c r="G168" s="105"/>
      <c r="H168" s="105"/>
      <c r="I168" s="105"/>
      <c r="J168" s="105"/>
      <c r="K168" s="110" t="str">
        <f t="shared" si="10"/>
        <v/>
      </c>
      <c r="L168" s="113"/>
      <c r="M168" s="110" t="str">
        <f t="shared" si="11"/>
        <v/>
      </c>
      <c r="N168" s="36" t="s">
        <v>159</v>
      </c>
      <c r="O168" s="36"/>
      <c r="P168" s="36"/>
      <c r="Q168" s="75"/>
      <c r="R168" s="75"/>
      <c r="S168" s="75"/>
      <c r="T168" s="75"/>
      <c r="U168" s="36"/>
      <c r="V168" s="69"/>
      <c r="W168" s="69"/>
      <c r="X168" s="38"/>
    </row>
    <row r="169" spans="1:24" ht="43" customHeight="1">
      <c r="A169" s="89"/>
      <c r="B169" s="57"/>
      <c r="C169" s="8"/>
      <c r="D169" s="8"/>
      <c r="E169" s="73"/>
      <c r="F169" s="14"/>
      <c r="G169" s="106"/>
      <c r="H169" s="106"/>
      <c r="I169" s="106"/>
      <c r="J169" s="106"/>
      <c r="K169" s="110" t="str">
        <f t="shared" ref="K169:K200" si="12">IF(A169="","",G169+I169+J169)</f>
        <v/>
      </c>
      <c r="L169" s="114"/>
      <c r="M169" s="110" t="str">
        <f t="shared" ref="M169:M200" si="13">IF(A169="","",IFERROR(K169/L169,""))</f>
        <v/>
      </c>
      <c r="N169" s="8" t="s">
        <v>159</v>
      </c>
      <c r="O169" s="8"/>
      <c r="P169" s="8"/>
      <c r="Q169" s="76"/>
      <c r="R169" s="76"/>
      <c r="S169" s="76"/>
      <c r="T169" s="76"/>
      <c r="U169" s="8"/>
      <c r="V169" s="70"/>
      <c r="W169" s="70"/>
      <c r="X169" s="10"/>
    </row>
    <row r="170" spans="1:24" ht="43" customHeight="1">
      <c r="A170" s="90"/>
      <c r="B170" s="56"/>
      <c r="C170" s="36"/>
      <c r="D170" s="36"/>
      <c r="E170" s="72"/>
      <c r="F170" s="53"/>
      <c r="G170" s="105"/>
      <c r="H170" s="105"/>
      <c r="I170" s="105"/>
      <c r="J170" s="105"/>
      <c r="K170" s="110" t="str">
        <f t="shared" si="12"/>
        <v/>
      </c>
      <c r="L170" s="113"/>
      <c r="M170" s="110" t="str">
        <f t="shared" si="13"/>
        <v/>
      </c>
      <c r="N170" s="36" t="s">
        <v>159</v>
      </c>
      <c r="O170" s="36"/>
      <c r="P170" s="36"/>
      <c r="Q170" s="75"/>
      <c r="R170" s="75"/>
      <c r="S170" s="75"/>
      <c r="T170" s="75"/>
      <c r="U170" s="36"/>
      <c r="V170" s="69"/>
      <c r="W170" s="69"/>
      <c r="X170" s="38"/>
    </row>
    <row r="171" spans="1:24" ht="43" customHeight="1">
      <c r="A171" s="89"/>
      <c r="B171" s="57"/>
      <c r="C171" s="8"/>
      <c r="D171" s="8"/>
      <c r="E171" s="73"/>
      <c r="F171" s="14"/>
      <c r="G171" s="106"/>
      <c r="H171" s="106"/>
      <c r="I171" s="106"/>
      <c r="J171" s="106"/>
      <c r="K171" s="110" t="str">
        <f t="shared" si="12"/>
        <v/>
      </c>
      <c r="L171" s="114"/>
      <c r="M171" s="110" t="str">
        <f t="shared" si="13"/>
        <v/>
      </c>
      <c r="N171" s="8" t="s">
        <v>159</v>
      </c>
      <c r="O171" s="8"/>
      <c r="P171" s="8"/>
      <c r="Q171" s="76"/>
      <c r="R171" s="76"/>
      <c r="S171" s="76"/>
      <c r="T171" s="76"/>
      <c r="U171" s="8"/>
      <c r="V171" s="70"/>
      <c r="W171" s="70"/>
      <c r="X171" s="10"/>
    </row>
    <row r="172" spans="1:24" ht="43" customHeight="1">
      <c r="A172" s="90"/>
      <c r="B172" s="56"/>
      <c r="C172" s="36"/>
      <c r="D172" s="36"/>
      <c r="E172" s="72"/>
      <c r="F172" s="53"/>
      <c r="G172" s="105"/>
      <c r="H172" s="105"/>
      <c r="I172" s="105"/>
      <c r="J172" s="105"/>
      <c r="K172" s="110" t="str">
        <f t="shared" si="12"/>
        <v/>
      </c>
      <c r="L172" s="113"/>
      <c r="M172" s="110" t="str">
        <f t="shared" si="13"/>
        <v/>
      </c>
      <c r="N172" s="36" t="s">
        <v>159</v>
      </c>
      <c r="O172" s="36"/>
      <c r="P172" s="36"/>
      <c r="Q172" s="75"/>
      <c r="R172" s="75"/>
      <c r="S172" s="75"/>
      <c r="T172" s="75"/>
      <c r="U172" s="36"/>
      <c r="V172" s="69"/>
      <c r="W172" s="69"/>
      <c r="X172" s="38"/>
    </row>
    <row r="173" spans="1:24" ht="43" customHeight="1">
      <c r="A173" s="89"/>
      <c r="B173" s="57"/>
      <c r="C173" s="8"/>
      <c r="D173" s="8"/>
      <c r="E173" s="73"/>
      <c r="F173" s="14"/>
      <c r="G173" s="106"/>
      <c r="H173" s="106"/>
      <c r="I173" s="106"/>
      <c r="J173" s="106"/>
      <c r="K173" s="110" t="str">
        <f t="shared" si="12"/>
        <v/>
      </c>
      <c r="L173" s="114"/>
      <c r="M173" s="110" t="str">
        <f t="shared" si="13"/>
        <v/>
      </c>
      <c r="N173" s="8" t="s">
        <v>159</v>
      </c>
      <c r="O173" s="8"/>
      <c r="P173" s="8"/>
      <c r="Q173" s="76"/>
      <c r="R173" s="76"/>
      <c r="S173" s="76"/>
      <c r="T173" s="76"/>
      <c r="U173" s="8"/>
      <c r="V173" s="70"/>
      <c r="W173" s="70"/>
      <c r="X173" s="10"/>
    </row>
    <row r="174" spans="1:24" ht="43" customHeight="1">
      <c r="A174" s="90"/>
      <c r="B174" s="56"/>
      <c r="C174" s="36"/>
      <c r="D174" s="36"/>
      <c r="E174" s="72"/>
      <c r="F174" s="53"/>
      <c r="G174" s="105"/>
      <c r="H174" s="105"/>
      <c r="I174" s="105"/>
      <c r="J174" s="105"/>
      <c r="K174" s="110" t="str">
        <f t="shared" si="12"/>
        <v/>
      </c>
      <c r="L174" s="113"/>
      <c r="M174" s="110" t="str">
        <f t="shared" si="13"/>
        <v/>
      </c>
      <c r="N174" s="36" t="s">
        <v>159</v>
      </c>
      <c r="O174" s="36"/>
      <c r="P174" s="36"/>
      <c r="Q174" s="75"/>
      <c r="R174" s="75"/>
      <c r="S174" s="75"/>
      <c r="T174" s="75"/>
      <c r="U174" s="36"/>
      <c r="V174" s="69"/>
      <c r="W174" s="69"/>
      <c r="X174" s="38"/>
    </row>
    <row r="175" spans="1:24" ht="43" customHeight="1">
      <c r="A175" s="89"/>
      <c r="B175" s="57"/>
      <c r="C175" s="8"/>
      <c r="D175" s="8"/>
      <c r="E175" s="73"/>
      <c r="F175" s="14"/>
      <c r="G175" s="106"/>
      <c r="H175" s="106"/>
      <c r="I175" s="106"/>
      <c r="J175" s="106"/>
      <c r="K175" s="110" t="str">
        <f t="shared" si="12"/>
        <v/>
      </c>
      <c r="L175" s="114"/>
      <c r="M175" s="110" t="str">
        <f t="shared" si="13"/>
        <v/>
      </c>
      <c r="N175" s="8" t="s">
        <v>159</v>
      </c>
      <c r="O175" s="8"/>
      <c r="P175" s="8"/>
      <c r="Q175" s="76"/>
      <c r="R175" s="76"/>
      <c r="S175" s="76"/>
      <c r="T175" s="76"/>
      <c r="U175" s="8"/>
      <c r="V175" s="70"/>
      <c r="W175" s="70"/>
      <c r="X175" s="10"/>
    </row>
    <row r="176" spans="1:24" ht="43" customHeight="1">
      <c r="A176" s="90"/>
      <c r="B176" s="56"/>
      <c r="C176" s="36"/>
      <c r="D176" s="36"/>
      <c r="E176" s="72"/>
      <c r="F176" s="53"/>
      <c r="G176" s="105"/>
      <c r="H176" s="105"/>
      <c r="I176" s="105"/>
      <c r="J176" s="105"/>
      <c r="K176" s="110" t="str">
        <f t="shared" si="12"/>
        <v/>
      </c>
      <c r="L176" s="113"/>
      <c r="M176" s="110" t="str">
        <f t="shared" si="13"/>
        <v/>
      </c>
      <c r="N176" s="36" t="s">
        <v>159</v>
      </c>
      <c r="O176" s="36"/>
      <c r="P176" s="36"/>
      <c r="Q176" s="75"/>
      <c r="R176" s="75"/>
      <c r="S176" s="75"/>
      <c r="T176" s="75"/>
      <c r="U176" s="36"/>
      <c r="V176" s="69"/>
      <c r="W176" s="69"/>
      <c r="X176" s="38"/>
    </row>
    <row r="177" spans="1:24" ht="43" customHeight="1">
      <c r="A177" s="89"/>
      <c r="B177" s="57"/>
      <c r="C177" s="8"/>
      <c r="D177" s="8"/>
      <c r="E177" s="73"/>
      <c r="F177" s="14"/>
      <c r="G177" s="106"/>
      <c r="H177" s="106"/>
      <c r="I177" s="106"/>
      <c r="J177" s="106"/>
      <c r="K177" s="110" t="str">
        <f t="shared" si="12"/>
        <v/>
      </c>
      <c r="L177" s="114"/>
      <c r="M177" s="110" t="str">
        <f t="shared" si="13"/>
        <v/>
      </c>
      <c r="N177" s="8" t="s">
        <v>159</v>
      </c>
      <c r="O177" s="8"/>
      <c r="P177" s="8"/>
      <c r="Q177" s="76"/>
      <c r="R177" s="76"/>
      <c r="S177" s="76"/>
      <c r="T177" s="76"/>
      <c r="U177" s="8"/>
      <c r="V177" s="70"/>
      <c r="W177" s="70"/>
      <c r="X177" s="10"/>
    </row>
    <row r="178" spans="1:24" ht="43" customHeight="1">
      <c r="A178" s="90"/>
      <c r="B178" s="56"/>
      <c r="C178" s="36"/>
      <c r="D178" s="36"/>
      <c r="E178" s="72"/>
      <c r="F178" s="53"/>
      <c r="G178" s="105"/>
      <c r="H178" s="105"/>
      <c r="I178" s="105"/>
      <c r="J178" s="105"/>
      <c r="K178" s="110" t="str">
        <f t="shared" si="12"/>
        <v/>
      </c>
      <c r="L178" s="113"/>
      <c r="M178" s="110" t="str">
        <f t="shared" si="13"/>
        <v/>
      </c>
      <c r="N178" s="36" t="s">
        <v>159</v>
      </c>
      <c r="O178" s="36"/>
      <c r="P178" s="36"/>
      <c r="Q178" s="75"/>
      <c r="R178" s="75"/>
      <c r="S178" s="75"/>
      <c r="T178" s="75"/>
      <c r="U178" s="36"/>
      <c r="V178" s="69"/>
      <c r="W178" s="69"/>
      <c r="X178" s="38"/>
    </row>
    <row r="179" spans="1:24" ht="43" customHeight="1">
      <c r="A179" s="89"/>
      <c r="B179" s="57"/>
      <c r="C179" s="8"/>
      <c r="D179" s="8"/>
      <c r="E179" s="73"/>
      <c r="F179" s="14"/>
      <c r="G179" s="106"/>
      <c r="H179" s="106"/>
      <c r="I179" s="106"/>
      <c r="J179" s="106"/>
      <c r="K179" s="110" t="str">
        <f t="shared" si="12"/>
        <v/>
      </c>
      <c r="L179" s="114"/>
      <c r="M179" s="110" t="str">
        <f t="shared" si="13"/>
        <v/>
      </c>
      <c r="N179" s="8" t="s">
        <v>159</v>
      </c>
      <c r="O179" s="8"/>
      <c r="P179" s="8"/>
      <c r="Q179" s="76"/>
      <c r="R179" s="76"/>
      <c r="S179" s="76"/>
      <c r="T179" s="76"/>
      <c r="U179" s="8"/>
      <c r="V179" s="70"/>
      <c r="W179" s="70"/>
      <c r="X179" s="10"/>
    </row>
    <row r="180" spans="1:24" ht="43" customHeight="1">
      <c r="A180" s="90"/>
      <c r="B180" s="56"/>
      <c r="C180" s="36"/>
      <c r="D180" s="36"/>
      <c r="E180" s="72"/>
      <c r="F180" s="53"/>
      <c r="G180" s="105"/>
      <c r="H180" s="105"/>
      <c r="I180" s="105"/>
      <c r="J180" s="105"/>
      <c r="K180" s="110" t="str">
        <f t="shared" si="12"/>
        <v/>
      </c>
      <c r="L180" s="113"/>
      <c r="M180" s="110" t="str">
        <f t="shared" si="13"/>
        <v/>
      </c>
      <c r="N180" s="36" t="s">
        <v>159</v>
      </c>
      <c r="O180" s="36"/>
      <c r="P180" s="36"/>
      <c r="Q180" s="75"/>
      <c r="R180" s="75"/>
      <c r="S180" s="75"/>
      <c r="T180" s="75"/>
      <c r="U180" s="36"/>
      <c r="V180" s="69"/>
      <c r="W180" s="69"/>
      <c r="X180" s="38"/>
    </row>
    <row r="181" spans="1:24" ht="27" customHeight="1">
      <c r="A181" s="89"/>
      <c r="B181" s="57"/>
      <c r="C181" s="8"/>
      <c r="D181" s="8"/>
      <c r="E181" s="73"/>
      <c r="F181" s="14"/>
      <c r="G181" s="106"/>
      <c r="H181" s="106"/>
      <c r="I181" s="106"/>
      <c r="J181" s="106"/>
      <c r="K181" s="110" t="str">
        <f t="shared" si="12"/>
        <v/>
      </c>
      <c r="L181" s="114"/>
      <c r="M181" s="110" t="str">
        <f t="shared" si="13"/>
        <v/>
      </c>
      <c r="N181" s="8"/>
      <c r="O181" s="8"/>
      <c r="P181" s="8"/>
      <c r="Q181" s="76"/>
      <c r="R181" s="76"/>
      <c r="S181" s="76"/>
      <c r="T181" s="76"/>
      <c r="U181" s="8"/>
      <c r="V181" s="70"/>
      <c r="W181" s="70"/>
      <c r="X181" s="10"/>
    </row>
    <row r="182" spans="1:24" ht="27" customHeight="1">
      <c r="A182" s="90"/>
      <c r="B182" s="56"/>
      <c r="C182" s="36"/>
      <c r="D182" s="36"/>
      <c r="E182" s="72"/>
      <c r="F182" s="53"/>
      <c r="G182" s="105"/>
      <c r="H182" s="105"/>
      <c r="I182" s="105"/>
      <c r="J182" s="105"/>
      <c r="K182" s="110" t="str">
        <f t="shared" si="12"/>
        <v/>
      </c>
      <c r="L182" s="113"/>
      <c r="M182" s="110" t="str">
        <f t="shared" si="13"/>
        <v/>
      </c>
      <c r="N182" s="36"/>
      <c r="O182" s="36"/>
      <c r="P182" s="36"/>
      <c r="Q182" s="75"/>
      <c r="R182" s="75"/>
      <c r="S182" s="75"/>
      <c r="T182" s="75"/>
      <c r="U182" s="36"/>
      <c r="V182" s="69"/>
      <c r="W182" s="69"/>
      <c r="X182" s="38"/>
    </row>
    <row r="183" spans="1:24" ht="27" customHeight="1">
      <c r="A183" s="89"/>
      <c r="B183" s="57"/>
      <c r="C183" s="8"/>
      <c r="D183" s="8"/>
      <c r="E183" s="73"/>
      <c r="F183" s="14"/>
      <c r="G183" s="106"/>
      <c r="H183" s="106"/>
      <c r="I183" s="106"/>
      <c r="J183" s="106"/>
      <c r="K183" s="110" t="str">
        <f t="shared" si="12"/>
        <v/>
      </c>
      <c r="L183" s="114"/>
      <c r="M183" s="110" t="str">
        <f t="shared" si="13"/>
        <v/>
      </c>
      <c r="N183" s="8"/>
      <c r="O183" s="8"/>
      <c r="P183" s="8"/>
      <c r="Q183" s="76"/>
      <c r="R183" s="76"/>
      <c r="S183" s="76"/>
      <c r="T183" s="76"/>
      <c r="U183" s="8"/>
      <c r="V183" s="70"/>
      <c r="W183" s="70"/>
      <c r="X183" s="10"/>
    </row>
    <row r="184" spans="1:24" ht="27" customHeight="1">
      <c r="A184" s="90"/>
      <c r="B184" s="56"/>
      <c r="C184" s="36"/>
      <c r="D184" s="36"/>
      <c r="E184" s="72"/>
      <c r="F184" s="53"/>
      <c r="G184" s="105"/>
      <c r="H184" s="105"/>
      <c r="I184" s="105"/>
      <c r="J184" s="105"/>
      <c r="K184" s="110" t="str">
        <f t="shared" si="12"/>
        <v/>
      </c>
      <c r="L184" s="113"/>
      <c r="M184" s="110" t="str">
        <f t="shared" si="13"/>
        <v/>
      </c>
      <c r="N184" s="36"/>
      <c r="O184" s="36"/>
      <c r="P184" s="36"/>
      <c r="Q184" s="75"/>
      <c r="R184" s="75"/>
      <c r="S184" s="75"/>
      <c r="T184" s="75"/>
      <c r="U184" s="36"/>
      <c r="V184" s="69"/>
      <c r="W184" s="69"/>
      <c r="X184" s="38"/>
    </row>
    <row r="185" spans="1:24" ht="27" customHeight="1">
      <c r="A185" s="89"/>
      <c r="B185" s="57"/>
      <c r="C185" s="8"/>
      <c r="D185" s="8"/>
      <c r="E185" s="73"/>
      <c r="F185" s="14"/>
      <c r="G185" s="106"/>
      <c r="H185" s="106"/>
      <c r="I185" s="106"/>
      <c r="J185" s="106"/>
      <c r="K185" s="110" t="str">
        <f t="shared" si="12"/>
        <v/>
      </c>
      <c r="L185" s="114"/>
      <c r="M185" s="110" t="str">
        <f t="shared" si="13"/>
        <v/>
      </c>
      <c r="N185" s="8"/>
      <c r="O185" s="8"/>
      <c r="P185" s="8"/>
      <c r="Q185" s="76"/>
      <c r="R185" s="76"/>
      <c r="S185" s="76"/>
      <c r="T185" s="76"/>
      <c r="U185" s="8"/>
      <c r="V185" s="70"/>
      <c r="W185" s="70"/>
      <c r="X185" s="10"/>
    </row>
    <row r="186" spans="1:24" ht="27" customHeight="1">
      <c r="A186" s="90"/>
      <c r="B186" s="56"/>
      <c r="C186" s="36"/>
      <c r="D186" s="36"/>
      <c r="E186" s="72"/>
      <c r="F186" s="53"/>
      <c r="G186" s="105"/>
      <c r="H186" s="105"/>
      <c r="I186" s="105"/>
      <c r="J186" s="105"/>
      <c r="K186" s="110" t="str">
        <f t="shared" si="12"/>
        <v/>
      </c>
      <c r="L186" s="113"/>
      <c r="M186" s="110" t="str">
        <f t="shared" si="13"/>
        <v/>
      </c>
      <c r="N186" s="36"/>
      <c r="O186" s="36"/>
      <c r="P186" s="36"/>
      <c r="Q186" s="75"/>
      <c r="R186" s="75"/>
      <c r="S186" s="75"/>
      <c r="T186" s="75"/>
      <c r="U186" s="36"/>
      <c r="V186" s="69"/>
      <c r="W186" s="69"/>
      <c r="X186" s="38"/>
    </row>
    <row r="187" spans="1:24" ht="27" customHeight="1">
      <c r="A187" s="89"/>
      <c r="B187" s="57"/>
      <c r="C187" s="8"/>
      <c r="D187" s="8"/>
      <c r="E187" s="73"/>
      <c r="F187" s="14"/>
      <c r="G187" s="106"/>
      <c r="H187" s="106"/>
      <c r="I187" s="106"/>
      <c r="J187" s="106"/>
      <c r="K187" s="110" t="str">
        <f t="shared" si="12"/>
        <v/>
      </c>
      <c r="L187" s="114"/>
      <c r="M187" s="110" t="str">
        <f t="shared" si="13"/>
        <v/>
      </c>
      <c r="N187" s="8"/>
      <c r="O187" s="8"/>
      <c r="P187" s="8"/>
      <c r="Q187" s="76"/>
      <c r="R187" s="76"/>
      <c r="S187" s="76"/>
      <c r="T187" s="76"/>
      <c r="U187" s="8"/>
      <c r="V187" s="70"/>
      <c r="W187" s="70"/>
      <c r="X187" s="10"/>
    </row>
    <row r="188" spans="1:24" ht="27" customHeight="1">
      <c r="A188" s="90"/>
      <c r="B188" s="56"/>
      <c r="C188" s="36"/>
      <c r="D188" s="36"/>
      <c r="E188" s="72"/>
      <c r="F188" s="53"/>
      <c r="G188" s="105"/>
      <c r="H188" s="105"/>
      <c r="I188" s="105"/>
      <c r="J188" s="105"/>
      <c r="K188" s="110" t="str">
        <f t="shared" si="12"/>
        <v/>
      </c>
      <c r="L188" s="113"/>
      <c r="M188" s="110" t="str">
        <f t="shared" si="13"/>
        <v/>
      </c>
      <c r="N188" s="36"/>
      <c r="O188" s="36"/>
      <c r="P188" s="36"/>
      <c r="Q188" s="75"/>
      <c r="R188" s="75"/>
      <c r="S188" s="75"/>
      <c r="T188" s="75"/>
      <c r="U188" s="36"/>
      <c r="V188" s="69"/>
      <c r="W188" s="69"/>
      <c r="X188" s="38"/>
    </row>
    <row r="189" spans="1:24" ht="27" customHeight="1">
      <c r="A189" s="89"/>
      <c r="B189" s="57"/>
      <c r="C189" s="8"/>
      <c r="D189" s="8"/>
      <c r="E189" s="73"/>
      <c r="F189" s="14"/>
      <c r="G189" s="106"/>
      <c r="H189" s="106"/>
      <c r="I189" s="106"/>
      <c r="J189" s="106"/>
      <c r="K189" s="110" t="str">
        <f t="shared" si="12"/>
        <v/>
      </c>
      <c r="L189" s="114"/>
      <c r="M189" s="110" t="str">
        <f t="shared" si="13"/>
        <v/>
      </c>
      <c r="N189" s="8"/>
      <c r="O189" s="8"/>
      <c r="P189" s="8"/>
      <c r="Q189" s="76"/>
      <c r="R189" s="76"/>
      <c r="S189" s="76"/>
      <c r="T189" s="76"/>
      <c r="U189" s="8"/>
      <c r="V189" s="70"/>
      <c r="W189" s="70"/>
      <c r="X189" s="10"/>
    </row>
    <row r="190" spans="1:24" ht="27" customHeight="1">
      <c r="A190" s="90"/>
      <c r="B190" s="56"/>
      <c r="C190" s="36"/>
      <c r="D190" s="36"/>
      <c r="E190" s="72"/>
      <c r="F190" s="53"/>
      <c r="G190" s="105"/>
      <c r="H190" s="105"/>
      <c r="I190" s="105"/>
      <c r="J190" s="105"/>
      <c r="K190" s="110" t="str">
        <f t="shared" si="12"/>
        <v/>
      </c>
      <c r="L190" s="113"/>
      <c r="M190" s="110" t="str">
        <f t="shared" si="13"/>
        <v/>
      </c>
      <c r="N190" s="36"/>
      <c r="O190" s="36"/>
      <c r="P190" s="36"/>
      <c r="Q190" s="75"/>
      <c r="R190" s="75"/>
      <c r="S190" s="75"/>
      <c r="T190" s="75"/>
      <c r="U190" s="36"/>
      <c r="V190" s="69"/>
      <c r="W190" s="69"/>
      <c r="X190" s="38"/>
    </row>
    <row r="191" spans="1:24" ht="27" customHeight="1">
      <c r="A191" s="89"/>
      <c r="B191" s="57"/>
      <c r="C191" s="8"/>
      <c r="D191" s="8"/>
      <c r="E191" s="73"/>
      <c r="F191" s="14"/>
      <c r="G191" s="106"/>
      <c r="H191" s="106"/>
      <c r="I191" s="106"/>
      <c r="J191" s="106"/>
      <c r="K191" s="110" t="str">
        <f t="shared" si="12"/>
        <v/>
      </c>
      <c r="L191" s="114"/>
      <c r="M191" s="110" t="str">
        <f t="shared" si="13"/>
        <v/>
      </c>
      <c r="N191" s="8"/>
      <c r="O191" s="8"/>
      <c r="P191" s="8"/>
      <c r="Q191" s="76"/>
      <c r="R191" s="76"/>
      <c r="S191" s="76"/>
      <c r="T191" s="76"/>
      <c r="U191" s="8"/>
      <c r="V191" s="70"/>
      <c r="W191" s="70"/>
      <c r="X191" s="10"/>
    </row>
    <row r="192" spans="1:24" ht="27" customHeight="1">
      <c r="A192" s="90"/>
      <c r="B192" s="56"/>
      <c r="C192" s="36"/>
      <c r="D192" s="36"/>
      <c r="E192" s="72"/>
      <c r="F192" s="53"/>
      <c r="G192" s="105"/>
      <c r="H192" s="105"/>
      <c r="I192" s="105"/>
      <c r="J192" s="105"/>
      <c r="K192" s="110" t="str">
        <f t="shared" si="12"/>
        <v/>
      </c>
      <c r="L192" s="113"/>
      <c r="M192" s="110" t="str">
        <f t="shared" si="13"/>
        <v/>
      </c>
      <c r="N192" s="36"/>
      <c r="O192" s="36"/>
      <c r="P192" s="36"/>
      <c r="Q192" s="75"/>
      <c r="R192" s="75"/>
      <c r="S192" s="75"/>
      <c r="T192" s="75"/>
      <c r="U192" s="36"/>
      <c r="V192" s="69"/>
      <c r="W192" s="69"/>
      <c r="X192" s="38"/>
    </row>
    <row r="193" spans="1:24" ht="27" customHeight="1">
      <c r="A193" s="89"/>
      <c r="B193" s="57"/>
      <c r="C193" s="8"/>
      <c r="D193" s="8"/>
      <c r="E193" s="73"/>
      <c r="F193" s="14"/>
      <c r="G193" s="106"/>
      <c r="H193" s="106"/>
      <c r="I193" s="106"/>
      <c r="J193" s="106"/>
      <c r="K193" s="110" t="str">
        <f t="shared" si="12"/>
        <v/>
      </c>
      <c r="L193" s="114"/>
      <c r="M193" s="110" t="str">
        <f t="shared" si="13"/>
        <v/>
      </c>
      <c r="N193" s="8"/>
      <c r="O193" s="8"/>
      <c r="P193" s="8"/>
      <c r="Q193" s="76"/>
      <c r="R193" s="76"/>
      <c r="S193" s="76"/>
      <c r="T193" s="76"/>
      <c r="U193" s="8"/>
      <c r="V193" s="70"/>
      <c r="W193" s="70"/>
      <c r="X193" s="10"/>
    </row>
    <row r="194" spans="1:24" ht="27" customHeight="1">
      <c r="A194" s="90"/>
      <c r="B194" s="56"/>
      <c r="C194" s="36"/>
      <c r="D194" s="36"/>
      <c r="E194" s="72"/>
      <c r="F194" s="53"/>
      <c r="G194" s="105"/>
      <c r="H194" s="105"/>
      <c r="I194" s="105"/>
      <c r="J194" s="105"/>
      <c r="K194" s="110" t="str">
        <f t="shared" si="12"/>
        <v/>
      </c>
      <c r="L194" s="113"/>
      <c r="M194" s="110" t="str">
        <f t="shared" si="13"/>
        <v/>
      </c>
      <c r="N194" s="36"/>
      <c r="O194" s="36"/>
      <c r="P194" s="36"/>
      <c r="Q194" s="75"/>
      <c r="R194" s="75"/>
      <c r="S194" s="75"/>
      <c r="T194" s="75"/>
      <c r="U194" s="36"/>
      <c r="V194" s="69"/>
      <c r="W194" s="69"/>
      <c r="X194" s="38"/>
    </row>
    <row r="195" spans="1:24" ht="27" customHeight="1">
      <c r="A195" s="89"/>
      <c r="B195" s="57"/>
      <c r="C195" s="8"/>
      <c r="D195" s="8"/>
      <c r="E195" s="73"/>
      <c r="F195" s="14"/>
      <c r="G195" s="106"/>
      <c r="H195" s="106"/>
      <c r="I195" s="106"/>
      <c r="J195" s="106"/>
      <c r="K195" s="110" t="str">
        <f t="shared" si="12"/>
        <v/>
      </c>
      <c r="L195" s="114"/>
      <c r="M195" s="110" t="str">
        <f t="shared" si="13"/>
        <v/>
      </c>
      <c r="N195" s="8"/>
      <c r="O195" s="8"/>
      <c r="P195" s="8"/>
      <c r="Q195" s="76"/>
      <c r="R195" s="76"/>
      <c r="S195" s="76"/>
      <c r="T195" s="76"/>
      <c r="U195" s="8"/>
      <c r="V195" s="70"/>
      <c r="W195" s="70"/>
      <c r="X195" s="10"/>
    </row>
    <row r="196" spans="1:24" ht="27" customHeight="1">
      <c r="A196" s="90"/>
      <c r="B196" s="56"/>
      <c r="C196" s="36"/>
      <c r="D196" s="36"/>
      <c r="E196" s="72"/>
      <c r="F196" s="53"/>
      <c r="G196" s="105"/>
      <c r="H196" s="105"/>
      <c r="I196" s="105"/>
      <c r="J196" s="105"/>
      <c r="K196" s="110" t="str">
        <f t="shared" si="12"/>
        <v/>
      </c>
      <c r="L196" s="113"/>
      <c r="M196" s="110" t="str">
        <f t="shared" si="13"/>
        <v/>
      </c>
      <c r="N196" s="36"/>
      <c r="O196" s="36"/>
      <c r="P196" s="36"/>
      <c r="Q196" s="75"/>
      <c r="R196" s="75"/>
      <c r="S196" s="75"/>
      <c r="T196" s="75"/>
      <c r="U196" s="36"/>
      <c r="V196" s="69"/>
      <c r="W196" s="69"/>
      <c r="X196" s="38"/>
    </row>
    <row r="197" spans="1:24" ht="27" customHeight="1">
      <c r="A197" s="89"/>
      <c r="B197" s="57"/>
      <c r="C197" s="8"/>
      <c r="D197" s="8"/>
      <c r="E197" s="73"/>
      <c r="F197" s="14"/>
      <c r="G197" s="106"/>
      <c r="H197" s="106"/>
      <c r="I197" s="106"/>
      <c r="J197" s="106"/>
      <c r="K197" s="110" t="str">
        <f t="shared" si="12"/>
        <v/>
      </c>
      <c r="L197" s="114"/>
      <c r="M197" s="110" t="str">
        <f t="shared" si="13"/>
        <v/>
      </c>
      <c r="N197" s="8"/>
      <c r="O197" s="8"/>
      <c r="P197" s="8"/>
      <c r="Q197" s="76"/>
      <c r="R197" s="76"/>
      <c r="S197" s="76"/>
      <c r="T197" s="76"/>
      <c r="U197" s="8"/>
      <c r="V197" s="70"/>
      <c r="W197" s="70"/>
      <c r="X197" s="10"/>
    </row>
    <row r="198" spans="1:24" ht="27" customHeight="1">
      <c r="A198" s="90"/>
      <c r="B198" s="56"/>
      <c r="C198" s="36"/>
      <c r="D198" s="36"/>
      <c r="E198" s="72"/>
      <c r="F198" s="53"/>
      <c r="G198" s="105"/>
      <c r="H198" s="105"/>
      <c r="I198" s="105"/>
      <c r="J198" s="105"/>
      <c r="K198" s="110" t="str">
        <f t="shared" si="12"/>
        <v/>
      </c>
      <c r="L198" s="113"/>
      <c r="M198" s="110" t="str">
        <f t="shared" si="13"/>
        <v/>
      </c>
      <c r="N198" s="36"/>
      <c r="O198" s="36"/>
      <c r="P198" s="36"/>
      <c r="Q198" s="75"/>
      <c r="R198" s="75"/>
      <c r="S198" s="75"/>
      <c r="T198" s="75"/>
      <c r="U198" s="36"/>
      <c r="V198" s="69"/>
      <c r="W198" s="69"/>
      <c r="X198" s="38"/>
    </row>
    <row r="199" spans="1:24" ht="27" customHeight="1">
      <c r="A199" s="89"/>
      <c r="B199" s="57"/>
      <c r="C199" s="8"/>
      <c r="D199" s="8"/>
      <c r="E199" s="73"/>
      <c r="F199" s="14"/>
      <c r="G199" s="106"/>
      <c r="H199" s="106"/>
      <c r="I199" s="106"/>
      <c r="J199" s="106"/>
      <c r="K199" s="110" t="str">
        <f t="shared" si="12"/>
        <v/>
      </c>
      <c r="L199" s="114"/>
      <c r="M199" s="110" t="str">
        <f t="shared" si="13"/>
        <v/>
      </c>
      <c r="N199" s="8"/>
      <c r="O199" s="8"/>
      <c r="P199" s="8"/>
      <c r="Q199" s="76"/>
      <c r="R199" s="76"/>
      <c r="S199" s="76"/>
      <c r="T199" s="76"/>
      <c r="U199" s="8"/>
      <c r="V199" s="70"/>
      <c r="W199" s="70"/>
      <c r="X199" s="10"/>
    </row>
    <row r="200" spans="1:24" ht="27" customHeight="1">
      <c r="A200" s="90"/>
      <c r="B200" s="56"/>
      <c r="C200" s="36"/>
      <c r="D200" s="36"/>
      <c r="E200" s="72"/>
      <c r="F200" s="53"/>
      <c r="G200" s="105"/>
      <c r="H200" s="105"/>
      <c r="I200" s="105"/>
      <c r="J200" s="105"/>
      <c r="K200" s="110" t="str">
        <f t="shared" si="12"/>
        <v/>
      </c>
      <c r="L200" s="113"/>
      <c r="M200" s="110" t="str">
        <f t="shared" si="13"/>
        <v/>
      </c>
      <c r="N200" s="36"/>
      <c r="O200" s="36"/>
      <c r="P200" s="36"/>
      <c r="Q200" s="75"/>
      <c r="R200" s="75"/>
      <c r="S200" s="75"/>
      <c r="T200" s="75"/>
      <c r="U200" s="36"/>
      <c r="V200" s="69"/>
      <c r="W200" s="69"/>
      <c r="X200" s="38"/>
    </row>
    <row r="201" spans="1:24" ht="27" customHeight="1">
      <c r="A201" s="89"/>
      <c r="B201" s="57"/>
      <c r="C201" s="8"/>
      <c r="D201" s="8"/>
      <c r="E201" s="73"/>
      <c r="F201" s="14"/>
      <c r="G201" s="106"/>
      <c r="H201" s="106"/>
      <c r="I201" s="106"/>
      <c r="J201" s="106"/>
      <c r="K201" s="110" t="str">
        <f t="shared" ref="K201:K232" si="14">IF(A201="","",G201+I201+J201)</f>
        <v/>
      </c>
      <c r="L201" s="114"/>
      <c r="M201" s="110" t="str">
        <f t="shared" ref="M201:M232" si="15">IF(A201="","",IFERROR(K201/L201,""))</f>
        <v/>
      </c>
      <c r="N201" s="8"/>
      <c r="O201" s="8"/>
      <c r="P201" s="8"/>
      <c r="Q201" s="76"/>
      <c r="R201" s="76"/>
      <c r="S201" s="76"/>
      <c r="T201" s="76"/>
      <c r="U201" s="8"/>
      <c r="V201" s="70"/>
      <c r="W201" s="70"/>
      <c r="X201" s="10"/>
    </row>
    <row r="202" spans="1:24" ht="27" customHeight="1">
      <c r="A202" s="90"/>
      <c r="B202" s="56"/>
      <c r="C202" s="36"/>
      <c r="D202" s="36"/>
      <c r="E202" s="72"/>
      <c r="F202" s="53"/>
      <c r="G202" s="105"/>
      <c r="H202" s="105"/>
      <c r="I202" s="105"/>
      <c r="J202" s="105"/>
      <c r="K202" s="110" t="str">
        <f t="shared" si="14"/>
        <v/>
      </c>
      <c r="L202" s="113"/>
      <c r="M202" s="110" t="str">
        <f t="shared" si="15"/>
        <v/>
      </c>
      <c r="N202" s="36"/>
      <c r="O202" s="36"/>
      <c r="P202" s="36"/>
      <c r="Q202" s="75"/>
      <c r="R202" s="75"/>
      <c r="S202" s="75"/>
      <c r="T202" s="75"/>
      <c r="U202" s="36"/>
      <c r="V202" s="69"/>
      <c r="W202" s="69"/>
      <c r="X202" s="38"/>
    </row>
    <row r="203" spans="1:24" ht="27" customHeight="1">
      <c r="A203" s="89"/>
      <c r="B203" s="57"/>
      <c r="C203" s="8"/>
      <c r="D203" s="8"/>
      <c r="E203" s="73"/>
      <c r="F203" s="14"/>
      <c r="G203" s="106"/>
      <c r="H203" s="106"/>
      <c r="I203" s="106"/>
      <c r="J203" s="106"/>
      <c r="K203" s="110" t="str">
        <f t="shared" si="14"/>
        <v/>
      </c>
      <c r="L203" s="114"/>
      <c r="M203" s="110" t="str">
        <f t="shared" si="15"/>
        <v/>
      </c>
      <c r="N203" s="8"/>
      <c r="O203" s="8"/>
      <c r="P203" s="8"/>
      <c r="Q203" s="76"/>
      <c r="R203" s="76"/>
      <c r="S203" s="76"/>
      <c r="T203" s="76"/>
      <c r="U203" s="8"/>
      <c r="V203" s="70"/>
      <c r="W203" s="70"/>
      <c r="X203" s="10"/>
    </row>
    <row r="204" spans="1:24" ht="27" customHeight="1">
      <c r="A204" s="90"/>
      <c r="B204" s="56"/>
      <c r="C204" s="36"/>
      <c r="D204" s="36"/>
      <c r="E204" s="72"/>
      <c r="F204" s="53"/>
      <c r="G204" s="105"/>
      <c r="H204" s="105"/>
      <c r="I204" s="105"/>
      <c r="J204" s="105"/>
      <c r="K204" s="110" t="str">
        <f t="shared" si="14"/>
        <v/>
      </c>
      <c r="L204" s="113"/>
      <c r="M204" s="110" t="str">
        <f t="shared" si="15"/>
        <v/>
      </c>
      <c r="N204" s="36"/>
      <c r="O204" s="36"/>
      <c r="P204" s="36"/>
      <c r="Q204" s="75"/>
      <c r="R204" s="75"/>
      <c r="S204" s="75"/>
      <c r="T204" s="75"/>
      <c r="U204" s="36"/>
      <c r="V204" s="69"/>
      <c r="W204" s="69"/>
      <c r="X204" s="38"/>
    </row>
    <row r="205" spans="1:24" ht="27" customHeight="1">
      <c r="A205" s="89"/>
      <c r="B205" s="57"/>
      <c r="C205" s="8"/>
      <c r="D205" s="8"/>
      <c r="E205" s="73"/>
      <c r="F205" s="14"/>
      <c r="G205" s="106"/>
      <c r="H205" s="106"/>
      <c r="I205" s="106"/>
      <c r="J205" s="106"/>
      <c r="K205" s="110" t="str">
        <f t="shared" si="14"/>
        <v/>
      </c>
      <c r="L205" s="114"/>
      <c r="M205" s="110" t="str">
        <f t="shared" si="15"/>
        <v/>
      </c>
      <c r="N205" s="8"/>
      <c r="O205" s="8"/>
      <c r="P205" s="8"/>
      <c r="Q205" s="76"/>
      <c r="R205" s="76"/>
      <c r="S205" s="76"/>
      <c r="T205" s="76"/>
      <c r="U205" s="8"/>
      <c r="V205" s="70"/>
      <c r="W205" s="70"/>
      <c r="X205" s="10"/>
    </row>
    <row r="206" spans="1:24" ht="27" customHeight="1">
      <c r="A206" s="90"/>
      <c r="B206" s="56"/>
      <c r="C206" s="36"/>
      <c r="D206" s="36"/>
      <c r="E206" s="72"/>
      <c r="F206" s="53"/>
      <c r="G206" s="105"/>
      <c r="H206" s="105"/>
      <c r="I206" s="105"/>
      <c r="J206" s="105"/>
      <c r="K206" s="110" t="str">
        <f t="shared" si="14"/>
        <v/>
      </c>
      <c r="L206" s="113"/>
      <c r="M206" s="110" t="str">
        <f t="shared" si="15"/>
        <v/>
      </c>
      <c r="N206" s="36"/>
      <c r="O206" s="36"/>
      <c r="P206" s="36"/>
      <c r="Q206" s="75"/>
      <c r="R206" s="75"/>
      <c r="S206" s="75"/>
      <c r="T206" s="75"/>
      <c r="U206" s="36"/>
      <c r="V206" s="69"/>
      <c r="W206" s="69"/>
      <c r="X206" s="38"/>
    </row>
    <row r="207" spans="1:24" ht="27" customHeight="1">
      <c r="A207" s="89"/>
      <c r="B207" s="57"/>
      <c r="C207" s="8"/>
      <c r="D207" s="8"/>
      <c r="E207" s="73"/>
      <c r="F207" s="14"/>
      <c r="G207" s="106"/>
      <c r="H207" s="106"/>
      <c r="I207" s="106"/>
      <c r="J207" s="106"/>
      <c r="K207" s="110" t="str">
        <f t="shared" si="14"/>
        <v/>
      </c>
      <c r="L207" s="114"/>
      <c r="M207" s="110" t="str">
        <f t="shared" si="15"/>
        <v/>
      </c>
      <c r="N207" s="8"/>
      <c r="O207" s="8"/>
      <c r="P207" s="8"/>
      <c r="Q207" s="76"/>
      <c r="R207" s="76"/>
      <c r="S207" s="76"/>
      <c r="T207" s="76"/>
      <c r="U207" s="8"/>
      <c r="V207" s="70"/>
      <c r="W207" s="70"/>
      <c r="X207" s="10"/>
    </row>
    <row r="208" spans="1:24" ht="27" customHeight="1">
      <c r="A208" s="90"/>
      <c r="B208" s="56"/>
      <c r="C208" s="36"/>
      <c r="D208" s="36"/>
      <c r="E208" s="72"/>
      <c r="F208" s="53"/>
      <c r="G208" s="105"/>
      <c r="H208" s="105"/>
      <c r="I208" s="105"/>
      <c r="J208" s="105"/>
      <c r="K208" s="110" t="str">
        <f t="shared" si="14"/>
        <v/>
      </c>
      <c r="L208" s="113"/>
      <c r="M208" s="110" t="str">
        <f t="shared" si="15"/>
        <v/>
      </c>
      <c r="N208" s="36"/>
      <c r="O208" s="36"/>
      <c r="P208" s="36"/>
      <c r="Q208" s="75"/>
      <c r="R208" s="75"/>
      <c r="S208" s="75"/>
      <c r="T208" s="75"/>
      <c r="U208" s="36"/>
      <c r="V208" s="69"/>
      <c r="W208" s="69"/>
      <c r="X208" s="38"/>
    </row>
    <row r="209" spans="1:24" ht="27" customHeight="1">
      <c r="A209" s="89"/>
      <c r="B209" s="57"/>
      <c r="C209" s="8"/>
      <c r="D209" s="8"/>
      <c r="E209" s="73"/>
      <c r="F209" s="14"/>
      <c r="G209" s="106"/>
      <c r="H209" s="106"/>
      <c r="I209" s="106"/>
      <c r="J209" s="106"/>
      <c r="K209" s="110" t="str">
        <f t="shared" si="14"/>
        <v/>
      </c>
      <c r="L209" s="114"/>
      <c r="M209" s="110" t="str">
        <f t="shared" si="15"/>
        <v/>
      </c>
      <c r="N209" s="8"/>
      <c r="O209" s="8"/>
      <c r="P209" s="8"/>
      <c r="Q209" s="76"/>
      <c r="R209" s="76"/>
      <c r="S209" s="76"/>
      <c r="T209" s="76"/>
      <c r="U209" s="8"/>
      <c r="V209" s="70"/>
      <c r="W209" s="70"/>
      <c r="X209" s="10"/>
    </row>
    <row r="210" spans="1:24" ht="27" customHeight="1">
      <c r="A210" s="90"/>
      <c r="B210" s="56"/>
      <c r="C210" s="36"/>
      <c r="D210" s="36"/>
      <c r="E210" s="72"/>
      <c r="F210" s="53"/>
      <c r="G210" s="105"/>
      <c r="H210" s="105"/>
      <c r="I210" s="105"/>
      <c r="J210" s="105"/>
      <c r="K210" s="110" t="str">
        <f t="shared" si="14"/>
        <v/>
      </c>
      <c r="L210" s="113"/>
      <c r="M210" s="110" t="str">
        <f t="shared" si="15"/>
        <v/>
      </c>
      <c r="N210" s="36"/>
      <c r="O210" s="36"/>
      <c r="P210" s="36"/>
      <c r="Q210" s="75"/>
      <c r="R210" s="75"/>
      <c r="S210" s="75"/>
      <c r="T210" s="75"/>
      <c r="U210" s="36"/>
      <c r="V210" s="69"/>
      <c r="W210" s="69"/>
      <c r="X210" s="38"/>
    </row>
    <row r="211" spans="1:24" ht="27" customHeight="1">
      <c r="A211" s="89"/>
      <c r="B211" s="57"/>
      <c r="C211" s="8"/>
      <c r="D211" s="8"/>
      <c r="E211" s="73"/>
      <c r="F211" s="14"/>
      <c r="G211" s="106"/>
      <c r="H211" s="106"/>
      <c r="I211" s="106"/>
      <c r="J211" s="106"/>
      <c r="K211" s="110" t="str">
        <f t="shared" si="14"/>
        <v/>
      </c>
      <c r="L211" s="114"/>
      <c r="M211" s="110" t="str">
        <f t="shared" si="15"/>
        <v/>
      </c>
      <c r="N211" s="8"/>
      <c r="O211" s="8"/>
      <c r="P211" s="8"/>
      <c r="Q211" s="76"/>
      <c r="R211" s="76"/>
      <c r="S211" s="76"/>
      <c r="T211" s="76"/>
      <c r="U211" s="8"/>
      <c r="V211" s="70"/>
      <c r="W211" s="70"/>
      <c r="X211" s="10"/>
    </row>
    <row r="212" spans="1:24" ht="27" customHeight="1">
      <c r="A212" s="90"/>
      <c r="B212" s="56"/>
      <c r="C212" s="36"/>
      <c r="D212" s="36"/>
      <c r="E212" s="72"/>
      <c r="F212" s="53"/>
      <c r="G212" s="105"/>
      <c r="H212" s="105"/>
      <c r="I212" s="105"/>
      <c r="J212" s="105"/>
      <c r="K212" s="110" t="str">
        <f t="shared" si="14"/>
        <v/>
      </c>
      <c r="L212" s="113"/>
      <c r="M212" s="110" t="str">
        <f t="shared" si="15"/>
        <v/>
      </c>
      <c r="N212" s="36"/>
      <c r="O212" s="36"/>
      <c r="P212" s="36"/>
      <c r="Q212" s="75"/>
      <c r="R212" s="75"/>
      <c r="S212" s="75"/>
      <c r="T212" s="75"/>
      <c r="U212" s="36"/>
      <c r="V212" s="69"/>
      <c r="W212" s="69"/>
      <c r="X212" s="38"/>
    </row>
    <row r="213" spans="1:24" ht="27" customHeight="1">
      <c r="A213" s="89"/>
      <c r="B213" s="57"/>
      <c r="C213" s="8"/>
      <c r="D213" s="8"/>
      <c r="E213" s="73"/>
      <c r="F213" s="14"/>
      <c r="G213" s="106"/>
      <c r="H213" s="106"/>
      <c r="I213" s="106"/>
      <c r="J213" s="106"/>
      <c r="K213" s="110" t="str">
        <f t="shared" si="14"/>
        <v/>
      </c>
      <c r="L213" s="114"/>
      <c r="M213" s="110" t="str">
        <f t="shared" si="15"/>
        <v/>
      </c>
      <c r="N213" s="8"/>
      <c r="O213" s="8"/>
      <c r="P213" s="8"/>
      <c r="Q213" s="76"/>
      <c r="R213" s="76"/>
      <c r="S213" s="76"/>
      <c r="T213" s="76"/>
      <c r="U213" s="8"/>
      <c r="V213" s="70"/>
      <c r="W213" s="70"/>
      <c r="X213" s="10"/>
    </row>
    <row r="214" spans="1:24" ht="27" customHeight="1">
      <c r="A214" s="90"/>
      <c r="B214" s="56"/>
      <c r="C214" s="36"/>
      <c r="D214" s="36"/>
      <c r="E214" s="72"/>
      <c r="F214" s="53"/>
      <c r="G214" s="105"/>
      <c r="H214" s="105"/>
      <c r="I214" s="105"/>
      <c r="J214" s="105"/>
      <c r="K214" s="110" t="str">
        <f t="shared" si="14"/>
        <v/>
      </c>
      <c r="L214" s="113"/>
      <c r="M214" s="110" t="str">
        <f t="shared" si="15"/>
        <v/>
      </c>
      <c r="N214" s="36"/>
      <c r="O214" s="36"/>
      <c r="P214" s="36"/>
      <c r="Q214" s="75"/>
      <c r="R214" s="75"/>
      <c r="S214" s="75"/>
      <c r="T214" s="75"/>
      <c r="U214" s="36"/>
      <c r="V214" s="69"/>
      <c r="W214" s="69"/>
      <c r="X214" s="38"/>
    </row>
    <row r="215" spans="1:24" ht="27" customHeight="1">
      <c r="A215" s="89"/>
      <c r="B215" s="57"/>
      <c r="C215" s="8"/>
      <c r="D215" s="8"/>
      <c r="E215" s="73"/>
      <c r="F215" s="14"/>
      <c r="G215" s="106"/>
      <c r="H215" s="106"/>
      <c r="I215" s="106"/>
      <c r="J215" s="106"/>
      <c r="K215" s="110" t="str">
        <f t="shared" si="14"/>
        <v/>
      </c>
      <c r="L215" s="114"/>
      <c r="M215" s="110" t="str">
        <f t="shared" si="15"/>
        <v/>
      </c>
      <c r="N215" s="8"/>
      <c r="O215" s="8"/>
      <c r="P215" s="8"/>
      <c r="Q215" s="76"/>
      <c r="R215" s="76"/>
      <c r="S215" s="76"/>
      <c r="T215" s="76"/>
      <c r="U215" s="8"/>
      <c r="V215" s="70"/>
      <c r="W215" s="70"/>
      <c r="X215" s="10"/>
    </row>
    <row r="216" spans="1:24" ht="27" customHeight="1">
      <c r="A216" s="90"/>
      <c r="B216" s="56"/>
      <c r="C216" s="36"/>
      <c r="D216" s="36"/>
      <c r="E216" s="72"/>
      <c r="F216" s="53"/>
      <c r="G216" s="105"/>
      <c r="H216" s="105"/>
      <c r="I216" s="105"/>
      <c r="J216" s="105"/>
      <c r="K216" s="110" t="str">
        <f t="shared" si="14"/>
        <v/>
      </c>
      <c r="L216" s="113"/>
      <c r="M216" s="110" t="str">
        <f t="shared" si="15"/>
        <v/>
      </c>
      <c r="N216" s="36"/>
      <c r="O216" s="36"/>
      <c r="P216" s="36"/>
      <c r="Q216" s="75"/>
      <c r="R216" s="75"/>
      <c r="S216" s="75"/>
      <c r="T216" s="75"/>
      <c r="U216" s="36"/>
      <c r="V216" s="69"/>
      <c r="W216" s="69"/>
      <c r="X216" s="38"/>
    </row>
    <row r="217" spans="1:24" ht="27" customHeight="1">
      <c r="A217" s="89"/>
      <c r="B217" s="57"/>
      <c r="C217" s="8"/>
      <c r="D217" s="8"/>
      <c r="E217" s="73"/>
      <c r="F217" s="14"/>
      <c r="G217" s="106"/>
      <c r="H217" s="106"/>
      <c r="I217" s="106"/>
      <c r="J217" s="106"/>
      <c r="K217" s="110" t="str">
        <f t="shared" si="14"/>
        <v/>
      </c>
      <c r="L217" s="114"/>
      <c r="M217" s="110" t="str">
        <f t="shared" si="15"/>
        <v/>
      </c>
      <c r="N217" s="8"/>
      <c r="O217" s="8"/>
      <c r="P217" s="8"/>
      <c r="Q217" s="76"/>
      <c r="R217" s="76"/>
      <c r="S217" s="76"/>
      <c r="T217" s="76"/>
      <c r="U217" s="8"/>
      <c r="V217" s="70"/>
      <c r="W217" s="70"/>
      <c r="X217" s="10"/>
    </row>
    <row r="218" spans="1:24" ht="27" customHeight="1">
      <c r="A218" s="90"/>
      <c r="B218" s="56"/>
      <c r="C218" s="36"/>
      <c r="D218" s="36"/>
      <c r="E218" s="72"/>
      <c r="F218" s="53"/>
      <c r="G218" s="105"/>
      <c r="H218" s="105"/>
      <c r="I218" s="105"/>
      <c r="J218" s="105"/>
      <c r="K218" s="110" t="str">
        <f t="shared" si="14"/>
        <v/>
      </c>
      <c r="L218" s="113"/>
      <c r="M218" s="110" t="str">
        <f t="shared" si="15"/>
        <v/>
      </c>
      <c r="N218" s="36"/>
      <c r="O218" s="36"/>
      <c r="P218" s="36"/>
      <c r="Q218" s="75"/>
      <c r="R218" s="75"/>
      <c r="S218" s="75"/>
      <c r="T218" s="75"/>
      <c r="U218" s="36"/>
      <c r="V218" s="69"/>
      <c r="W218" s="69"/>
      <c r="X218" s="38"/>
    </row>
    <row r="219" spans="1:24" ht="27" customHeight="1">
      <c r="A219" s="89"/>
      <c r="B219" s="57"/>
      <c r="C219" s="8"/>
      <c r="D219" s="8"/>
      <c r="E219" s="73"/>
      <c r="F219" s="14"/>
      <c r="G219" s="106"/>
      <c r="H219" s="106"/>
      <c r="I219" s="106"/>
      <c r="J219" s="106"/>
      <c r="K219" s="110" t="str">
        <f t="shared" si="14"/>
        <v/>
      </c>
      <c r="L219" s="114"/>
      <c r="M219" s="110" t="str">
        <f t="shared" si="15"/>
        <v/>
      </c>
      <c r="N219" s="8"/>
      <c r="O219" s="8"/>
      <c r="P219" s="8"/>
      <c r="Q219" s="76"/>
      <c r="R219" s="76"/>
      <c r="S219" s="76"/>
      <c r="T219" s="76"/>
      <c r="U219" s="8"/>
      <c r="V219" s="70"/>
      <c r="W219" s="70"/>
      <c r="X219" s="10"/>
    </row>
    <row r="220" spans="1:24" ht="27" customHeight="1">
      <c r="A220" s="90"/>
      <c r="B220" s="56"/>
      <c r="C220" s="36"/>
      <c r="D220" s="36"/>
      <c r="E220" s="72"/>
      <c r="F220" s="53"/>
      <c r="G220" s="105"/>
      <c r="H220" s="105"/>
      <c r="I220" s="105"/>
      <c r="J220" s="105"/>
      <c r="K220" s="110" t="str">
        <f t="shared" si="14"/>
        <v/>
      </c>
      <c r="L220" s="113"/>
      <c r="M220" s="110" t="str">
        <f t="shared" si="15"/>
        <v/>
      </c>
      <c r="N220" s="36"/>
      <c r="O220" s="36"/>
      <c r="P220" s="36"/>
      <c r="Q220" s="75"/>
      <c r="R220" s="75"/>
      <c r="S220" s="75"/>
      <c r="T220" s="75"/>
      <c r="U220" s="36"/>
      <c r="V220" s="69"/>
      <c r="W220" s="69"/>
      <c r="X220" s="38"/>
    </row>
    <row r="221" spans="1:24" ht="27" customHeight="1">
      <c r="A221" s="89"/>
      <c r="B221" s="57"/>
      <c r="C221" s="8"/>
      <c r="D221" s="8"/>
      <c r="E221" s="73"/>
      <c r="F221" s="14"/>
      <c r="G221" s="106"/>
      <c r="H221" s="106"/>
      <c r="I221" s="106"/>
      <c r="J221" s="106"/>
      <c r="K221" s="110" t="str">
        <f t="shared" si="14"/>
        <v/>
      </c>
      <c r="L221" s="114"/>
      <c r="M221" s="110" t="str">
        <f t="shared" si="15"/>
        <v/>
      </c>
      <c r="N221" s="8"/>
      <c r="O221" s="8"/>
      <c r="P221" s="8"/>
      <c r="Q221" s="76"/>
      <c r="R221" s="76"/>
      <c r="S221" s="76"/>
      <c r="T221" s="76"/>
      <c r="U221" s="8"/>
      <c r="V221" s="70"/>
      <c r="W221" s="70"/>
      <c r="X221" s="10"/>
    </row>
    <row r="222" spans="1:24" ht="27" customHeight="1">
      <c r="A222" s="90"/>
      <c r="B222" s="56"/>
      <c r="C222" s="36"/>
      <c r="D222" s="36"/>
      <c r="E222" s="72"/>
      <c r="F222" s="53"/>
      <c r="G222" s="105"/>
      <c r="H222" s="105"/>
      <c r="I222" s="105"/>
      <c r="J222" s="105"/>
      <c r="K222" s="110" t="str">
        <f t="shared" si="14"/>
        <v/>
      </c>
      <c r="L222" s="113"/>
      <c r="M222" s="110" t="str">
        <f t="shared" si="15"/>
        <v/>
      </c>
      <c r="N222" s="36"/>
      <c r="O222" s="36"/>
      <c r="P222" s="36"/>
      <c r="Q222" s="75"/>
      <c r="R222" s="75"/>
      <c r="S222" s="75"/>
      <c r="T222" s="75"/>
      <c r="U222" s="36"/>
      <c r="V222" s="69"/>
      <c r="W222" s="69"/>
      <c r="X222" s="38"/>
    </row>
    <row r="223" spans="1:24" ht="27" customHeight="1">
      <c r="A223" s="89"/>
      <c r="B223" s="57"/>
      <c r="C223" s="8"/>
      <c r="D223" s="8"/>
      <c r="E223" s="73"/>
      <c r="F223" s="14"/>
      <c r="G223" s="106"/>
      <c r="H223" s="106"/>
      <c r="I223" s="106"/>
      <c r="J223" s="106"/>
      <c r="K223" s="110" t="str">
        <f t="shared" si="14"/>
        <v/>
      </c>
      <c r="L223" s="114"/>
      <c r="M223" s="110" t="str">
        <f t="shared" si="15"/>
        <v/>
      </c>
      <c r="N223" s="8"/>
      <c r="O223" s="8"/>
      <c r="P223" s="8"/>
      <c r="Q223" s="76"/>
      <c r="R223" s="76"/>
      <c r="S223" s="76"/>
      <c r="T223" s="76"/>
      <c r="U223" s="8"/>
      <c r="V223" s="70"/>
      <c r="W223" s="70"/>
      <c r="X223" s="10"/>
    </row>
    <row r="224" spans="1:24" ht="27" customHeight="1">
      <c r="A224" s="90"/>
      <c r="B224" s="56"/>
      <c r="C224" s="36"/>
      <c r="D224" s="36"/>
      <c r="E224" s="72"/>
      <c r="F224" s="53"/>
      <c r="G224" s="105"/>
      <c r="H224" s="105"/>
      <c r="I224" s="105"/>
      <c r="J224" s="105"/>
      <c r="K224" s="110" t="str">
        <f t="shared" si="14"/>
        <v/>
      </c>
      <c r="L224" s="113"/>
      <c r="M224" s="110" t="str">
        <f t="shared" si="15"/>
        <v/>
      </c>
      <c r="N224" s="36"/>
      <c r="O224" s="36"/>
      <c r="P224" s="36"/>
      <c r="Q224" s="75"/>
      <c r="R224" s="75"/>
      <c r="S224" s="75"/>
      <c r="T224" s="75"/>
      <c r="U224" s="36"/>
      <c r="V224" s="69"/>
      <c r="W224" s="69"/>
      <c r="X224" s="38"/>
    </row>
    <row r="225" spans="1:24" ht="27" customHeight="1">
      <c r="A225" s="89"/>
      <c r="B225" s="57"/>
      <c r="C225" s="8"/>
      <c r="D225" s="8"/>
      <c r="E225" s="73"/>
      <c r="F225" s="14"/>
      <c r="G225" s="106"/>
      <c r="H225" s="106"/>
      <c r="I225" s="106"/>
      <c r="J225" s="106"/>
      <c r="K225" s="110" t="str">
        <f t="shared" si="14"/>
        <v/>
      </c>
      <c r="L225" s="114"/>
      <c r="M225" s="110" t="str">
        <f t="shared" si="15"/>
        <v/>
      </c>
      <c r="N225" s="8"/>
      <c r="O225" s="8"/>
      <c r="P225" s="8"/>
      <c r="Q225" s="76"/>
      <c r="R225" s="76"/>
      <c r="S225" s="76"/>
      <c r="T225" s="76"/>
      <c r="U225" s="8"/>
      <c r="V225" s="70"/>
      <c r="W225" s="70"/>
      <c r="X225" s="10"/>
    </row>
    <row r="226" spans="1:24" ht="27" customHeight="1">
      <c r="A226" s="90"/>
      <c r="B226" s="56"/>
      <c r="C226" s="36"/>
      <c r="D226" s="36"/>
      <c r="E226" s="72"/>
      <c r="F226" s="53"/>
      <c r="G226" s="105"/>
      <c r="H226" s="105"/>
      <c r="I226" s="105"/>
      <c r="J226" s="105"/>
      <c r="K226" s="110" t="str">
        <f t="shared" si="14"/>
        <v/>
      </c>
      <c r="L226" s="113"/>
      <c r="M226" s="110" t="str">
        <f t="shared" si="15"/>
        <v/>
      </c>
      <c r="N226" s="36"/>
      <c r="O226" s="36"/>
      <c r="P226" s="36"/>
      <c r="Q226" s="75"/>
      <c r="R226" s="75"/>
      <c r="S226" s="75"/>
      <c r="T226" s="75"/>
      <c r="U226" s="36"/>
      <c r="V226" s="69"/>
      <c r="W226" s="69"/>
      <c r="X226" s="38"/>
    </row>
    <row r="227" spans="1:24" ht="27" customHeight="1">
      <c r="A227" s="89"/>
      <c r="B227" s="57"/>
      <c r="C227" s="8"/>
      <c r="D227" s="8"/>
      <c r="E227" s="73"/>
      <c r="F227" s="14"/>
      <c r="G227" s="106"/>
      <c r="H227" s="106"/>
      <c r="I227" s="106"/>
      <c r="J227" s="106"/>
      <c r="K227" s="110" t="str">
        <f t="shared" si="14"/>
        <v/>
      </c>
      <c r="L227" s="114"/>
      <c r="M227" s="110" t="str">
        <f t="shared" si="15"/>
        <v/>
      </c>
      <c r="N227" s="8"/>
      <c r="O227" s="8"/>
      <c r="P227" s="8"/>
      <c r="Q227" s="76"/>
      <c r="R227" s="76"/>
      <c r="S227" s="76"/>
      <c r="T227" s="76"/>
      <c r="U227" s="8"/>
      <c r="V227" s="70"/>
      <c r="W227" s="70"/>
      <c r="X227" s="10"/>
    </row>
    <row r="228" spans="1:24" ht="27" customHeight="1">
      <c r="A228" s="90"/>
      <c r="B228" s="56"/>
      <c r="C228" s="36"/>
      <c r="D228" s="36"/>
      <c r="E228" s="72"/>
      <c r="F228" s="53"/>
      <c r="G228" s="105"/>
      <c r="H228" s="105"/>
      <c r="I228" s="105"/>
      <c r="J228" s="105"/>
      <c r="K228" s="110" t="str">
        <f t="shared" si="14"/>
        <v/>
      </c>
      <c r="L228" s="113"/>
      <c r="M228" s="110" t="str">
        <f t="shared" si="15"/>
        <v/>
      </c>
      <c r="N228" s="36"/>
      <c r="O228" s="36"/>
      <c r="P228" s="36"/>
      <c r="Q228" s="75"/>
      <c r="R228" s="75"/>
      <c r="S228" s="75"/>
      <c r="T228" s="75"/>
      <c r="U228" s="36"/>
      <c r="V228" s="69"/>
      <c r="W228" s="69"/>
      <c r="X228" s="38"/>
    </row>
    <row r="229" spans="1:24" ht="27" customHeight="1">
      <c r="A229" s="89"/>
      <c r="B229" s="57"/>
      <c r="C229" s="8"/>
      <c r="D229" s="8"/>
      <c r="E229" s="73"/>
      <c r="F229" s="14"/>
      <c r="G229" s="106"/>
      <c r="H229" s="106"/>
      <c r="I229" s="106"/>
      <c r="J229" s="106"/>
      <c r="K229" s="110" t="str">
        <f t="shared" si="14"/>
        <v/>
      </c>
      <c r="L229" s="114"/>
      <c r="M229" s="110" t="str">
        <f t="shared" si="15"/>
        <v/>
      </c>
      <c r="N229" s="8"/>
      <c r="O229" s="8"/>
      <c r="P229" s="8"/>
      <c r="Q229" s="76"/>
      <c r="R229" s="76"/>
      <c r="S229" s="76"/>
      <c r="T229" s="76"/>
      <c r="U229" s="8"/>
      <c r="V229" s="70"/>
      <c r="W229" s="70"/>
      <c r="X229" s="10"/>
    </row>
    <row r="230" spans="1:24" ht="27" customHeight="1">
      <c r="A230" s="90"/>
      <c r="B230" s="56"/>
      <c r="C230" s="36"/>
      <c r="D230" s="36"/>
      <c r="E230" s="72"/>
      <c r="F230" s="53"/>
      <c r="G230" s="105"/>
      <c r="H230" s="105"/>
      <c r="I230" s="105"/>
      <c r="J230" s="105"/>
      <c r="K230" s="110" t="str">
        <f t="shared" si="14"/>
        <v/>
      </c>
      <c r="L230" s="113"/>
      <c r="M230" s="110" t="str">
        <f t="shared" si="15"/>
        <v/>
      </c>
      <c r="N230" s="36"/>
      <c r="O230" s="36"/>
      <c r="P230" s="36"/>
      <c r="Q230" s="75"/>
      <c r="R230" s="75"/>
      <c r="S230" s="75"/>
      <c r="T230" s="75"/>
      <c r="U230" s="36"/>
      <c r="V230" s="69"/>
      <c r="W230" s="69"/>
      <c r="X230" s="38"/>
    </row>
    <row r="231" spans="1:24" ht="27" customHeight="1">
      <c r="A231" s="89"/>
      <c r="B231" s="57"/>
      <c r="C231" s="8"/>
      <c r="D231" s="8"/>
      <c r="E231" s="73"/>
      <c r="F231" s="14"/>
      <c r="G231" s="106"/>
      <c r="H231" s="106"/>
      <c r="I231" s="106"/>
      <c r="J231" s="106"/>
      <c r="K231" s="110" t="str">
        <f t="shared" si="14"/>
        <v/>
      </c>
      <c r="L231" s="114"/>
      <c r="M231" s="110" t="str">
        <f t="shared" si="15"/>
        <v/>
      </c>
      <c r="N231" s="8"/>
      <c r="O231" s="8"/>
      <c r="P231" s="8"/>
      <c r="Q231" s="76"/>
      <c r="R231" s="76"/>
      <c r="S231" s="76"/>
      <c r="T231" s="76"/>
      <c r="U231" s="8"/>
      <c r="V231" s="70"/>
      <c r="W231" s="70"/>
      <c r="X231" s="10"/>
    </row>
    <row r="232" spans="1:24" ht="27" customHeight="1">
      <c r="A232" s="90"/>
      <c r="B232" s="56"/>
      <c r="C232" s="36"/>
      <c r="D232" s="36"/>
      <c r="E232" s="72"/>
      <c r="F232" s="53"/>
      <c r="G232" s="105"/>
      <c r="H232" s="105"/>
      <c r="I232" s="105"/>
      <c r="J232" s="105"/>
      <c r="K232" s="110" t="str">
        <f t="shared" si="14"/>
        <v/>
      </c>
      <c r="L232" s="113"/>
      <c r="M232" s="110" t="str">
        <f t="shared" si="15"/>
        <v/>
      </c>
      <c r="N232" s="36"/>
      <c r="O232" s="36"/>
      <c r="P232" s="36"/>
      <c r="Q232" s="75"/>
      <c r="R232" s="75"/>
      <c r="S232" s="75"/>
      <c r="T232" s="75"/>
      <c r="U232" s="36"/>
      <c r="V232" s="69"/>
      <c r="W232" s="69"/>
      <c r="X232" s="38"/>
    </row>
    <row r="233" spans="1:24" ht="27" customHeight="1">
      <c r="A233" s="89"/>
      <c r="B233" s="57"/>
      <c r="C233" s="8"/>
      <c r="D233" s="8"/>
      <c r="E233" s="73"/>
      <c r="F233" s="14"/>
      <c r="G233" s="106"/>
      <c r="H233" s="106"/>
      <c r="I233" s="106"/>
      <c r="J233" s="106"/>
      <c r="K233" s="110" t="str">
        <f t="shared" ref="K233:K264" si="16">IF(A233="","",G233+I233+J233)</f>
        <v/>
      </c>
      <c r="L233" s="114"/>
      <c r="M233" s="110" t="str">
        <f t="shared" ref="M233:M264" si="17">IF(A233="","",IFERROR(K233/L233,""))</f>
        <v/>
      </c>
      <c r="N233" s="8"/>
      <c r="O233" s="8"/>
      <c r="P233" s="8"/>
      <c r="Q233" s="76"/>
      <c r="R233" s="76"/>
      <c r="S233" s="76"/>
      <c r="T233" s="76"/>
      <c r="U233" s="8"/>
      <c r="V233" s="70"/>
      <c r="W233" s="70"/>
      <c r="X233" s="10"/>
    </row>
    <row r="234" spans="1:24" ht="27" customHeight="1">
      <c r="A234" s="90"/>
      <c r="B234" s="56"/>
      <c r="C234" s="36"/>
      <c r="D234" s="36"/>
      <c r="E234" s="72"/>
      <c r="F234" s="53"/>
      <c r="G234" s="105"/>
      <c r="H234" s="105"/>
      <c r="I234" s="105"/>
      <c r="J234" s="105"/>
      <c r="K234" s="110" t="str">
        <f t="shared" si="16"/>
        <v/>
      </c>
      <c r="L234" s="113"/>
      <c r="M234" s="110" t="str">
        <f t="shared" si="17"/>
        <v/>
      </c>
      <c r="N234" s="36"/>
      <c r="O234" s="36"/>
      <c r="P234" s="36"/>
      <c r="Q234" s="75"/>
      <c r="R234" s="75"/>
      <c r="S234" s="75"/>
      <c r="T234" s="75"/>
      <c r="U234" s="36"/>
      <c r="V234" s="69"/>
      <c r="W234" s="69"/>
      <c r="X234" s="38"/>
    </row>
    <row r="235" spans="1:24" ht="27" customHeight="1">
      <c r="A235" s="89"/>
      <c r="B235" s="57"/>
      <c r="C235" s="8"/>
      <c r="D235" s="8"/>
      <c r="E235" s="73"/>
      <c r="F235" s="14"/>
      <c r="G235" s="106"/>
      <c r="H235" s="106"/>
      <c r="I235" s="106"/>
      <c r="J235" s="106"/>
      <c r="K235" s="110" t="str">
        <f t="shared" si="16"/>
        <v/>
      </c>
      <c r="L235" s="114"/>
      <c r="M235" s="110" t="str">
        <f t="shared" si="17"/>
        <v/>
      </c>
      <c r="N235" s="8"/>
      <c r="O235" s="8"/>
      <c r="P235" s="8"/>
      <c r="Q235" s="76"/>
      <c r="R235" s="76"/>
      <c r="S235" s="76"/>
      <c r="T235" s="76"/>
      <c r="U235" s="8"/>
      <c r="V235" s="70"/>
      <c r="W235" s="70"/>
      <c r="X235" s="10"/>
    </row>
    <row r="236" spans="1:24" ht="27" customHeight="1">
      <c r="A236" s="90"/>
      <c r="B236" s="56"/>
      <c r="C236" s="36"/>
      <c r="D236" s="36"/>
      <c r="E236" s="72"/>
      <c r="F236" s="53"/>
      <c r="G236" s="105"/>
      <c r="H236" s="105"/>
      <c r="I236" s="105"/>
      <c r="J236" s="105"/>
      <c r="K236" s="110" t="str">
        <f t="shared" si="16"/>
        <v/>
      </c>
      <c r="L236" s="113"/>
      <c r="M236" s="110" t="str">
        <f t="shared" si="17"/>
        <v/>
      </c>
      <c r="N236" s="36"/>
      <c r="O236" s="36"/>
      <c r="P236" s="36"/>
      <c r="Q236" s="75"/>
      <c r="R236" s="75"/>
      <c r="S236" s="75"/>
      <c r="T236" s="75"/>
      <c r="U236" s="36"/>
      <c r="V236" s="69"/>
      <c r="W236" s="69"/>
      <c r="X236" s="38"/>
    </row>
    <row r="237" spans="1:24" ht="27" customHeight="1">
      <c r="A237" s="89"/>
      <c r="B237" s="57"/>
      <c r="C237" s="8"/>
      <c r="D237" s="8"/>
      <c r="E237" s="73"/>
      <c r="F237" s="14"/>
      <c r="G237" s="106"/>
      <c r="H237" s="106"/>
      <c r="I237" s="106"/>
      <c r="J237" s="106"/>
      <c r="K237" s="110" t="str">
        <f t="shared" si="16"/>
        <v/>
      </c>
      <c r="L237" s="114"/>
      <c r="M237" s="110" t="str">
        <f t="shared" si="17"/>
        <v/>
      </c>
      <c r="N237" s="8"/>
      <c r="O237" s="8"/>
      <c r="P237" s="8"/>
      <c r="Q237" s="76"/>
      <c r="R237" s="76"/>
      <c r="S237" s="76"/>
      <c r="T237" s="76"/>
      <c r="U237" s="8"/>
      <c r="V237" s="70"/>
      <c r="W237" s="70"/>
      <c r="X237" s="10"/>
    </row>
    <row r="238" spans="1:24" ht="27" customHeight="1">
      <c r="A238" s="90"/>
      <c r="B238" s="56"/>
      <c r="C238" s="36"/>
      <c r="D238" s="36"/>
      <c r="E238" s="72"/>
      <c r="F238" s="53"/>
      <c r="G238" s="105"/>
      <c r="H238" s="105"/>
      <c r="I238" s="105"/>
      <c r="J238" s="105"/>
      <c r="K238" s="110" t="str">
        <f t="shared" si="16"/>
        <v/>
      </c>
      <c r="L238" s="113"/>
      <c r="M238" s="110" t="str">
        <f t="shared" si="17"/>
        <v/>
      </c>
      <c r="N238" s="36"/>
      <c r="O238" s="36"/>
      <c r="P238" s="36"/>
      <c r="Q238" s="75"/>
      <c r="R238" s="75"/>
      <c r="S238" s="75"/>
      <c r="T238" s="75"/>
      <c r="U238" s="36"/>
      <c r="V238" s="69"/>
      <c r="W238" s="69"/>
      <c r="X238" s="38"/>
    </row>
    <row r="239" spans="1:24" ht="27" customHeight="1">
      <c r="A239" s="89"/>
      <c r="B239" s="57"/>
      <c r="C239" s="8"/>
      <c r="D239" s="8"/>
      <c r="E239" s="73"/>
      <c r="F239" s="14"/>
      <c r="G239" s="106"/>
      <c r="H239" s="106"/>
      <c r="I239" s="106"/>
      <c r="J239" s="106"/>
      <c r="K239" s="110" t="str">
        <f t="shared" si="16"/>
        <v/>
      </c>
      <c r="L239" s="114"/>
      <c r="M239" s="110" t="str">
        <f t="shared" si="17"/>
        <v/>
      </c>
      <c r="N239" s="8"/>
      <c r="O239" s="8"/>
      <c r="P239" s="8"/>
      <c r="Q239" s="76"/>
      <c r="R239" s="76"/>
      <c r="S239" s="76"/>
      <c r="T239" s="76"/>
      <c r="U239" s="8"/>
      <c r="V239" s="70"/>
      <c r="W239" s="70"/>
      <c r="X239" s="10"/>
    </row>
    <row r="240" spans="1:24" ht="27" customHeight="1">
      <c r="A240" s="90"/>
      <c r="B240" s="56"/>
      <c r="C240" s="36"/>
      <c r="D240" s="36"/>
      <c r="E240" s="72"/>
      <c r="F240" s="53"/>
      <c r="G240" s="105"/>
      <c r="H240" s="105"/>
      <c r="I240" s="105"/>
      <c r="J240" s="105"/>
      <c r="K240" s="110" t="str">
        <f t="shared" si="16"/>
        <v/>
      </c>
      <c r="L240" s="113"/>
      <c r="M240" s="110" t="str">
        <f t="shared" si="17"/>
        <v/>
      </c>
      <c r="N240" s="36"/>
      <c r="O240" s="36"/>
      <c r="P240" s="36"/>
      <c r="Q240" s="75"/>
      <c r="R240" s="75"/>
      <c r="S240" s="75"/>
      <c r="T240" s="75"/>
      <c r="U240" s="36"/>
      <c r="V240" s="69"/>
      <c r="W240" s="69"/>
      <c r="X240" s="38"/>
    </row>
    <row r="241" spans="1:24" ht="27" customHeight="1">
      <c r="A241" s="89"/>
      <c r="B241" s="57"/>
      <c r="C241" s="8"/>
      <c r="D241" s="8"/>
      <c r="E241" s="73"/>
      <c r="F241" s="14"/>
      <c r="G241" s="106"/>
      <c r="H241" s="106"/>
      <c r="I241" s="106"/>
      <c r="J241" s="106"/>
      <c r="K241" s="110" t="str">
        <f t="shared" si="16"/>
        <v/>
      </c>
      <c r="L241" s="114"/>
      <c r="M241" s="110" t="str">
        <f t="shared" si="17"/>
        <v/>
      </c>
      <c r="N241" s="8"/>
      <c r="O241" s="8"/>
      <c r="P241" s="8"/>
      <c r="Q241" s="76"/>
      <c r="R241" s="76"/>
      <c r="S241" s="76"/>
      <c r="T241" s="76"/>
      <c r="U241" s="8"/>
      <c r="V241" s="70"/>
      <c r="W241" s="70"/>
      <c r="X241" s="10"/>
    </row>
    <row r="242" spans="1:24" ht="27" customHeight="1">
      <c r="A242" s="90"/>
      <c r="B242" s="56"/>
      <c r="C242" s="36"/>
      <c r="D242" s="36"/>
      <c r="E242" s="72"/>
      <c r="F242" s="53"/>
      <c r="G242" s="105"/>
      <c r="H242" s="105"/>
      <c r="I242" s="105"/>
      <c r="J242" s="105"/>
      <c r="K242" s="110" t="str">
        <f t="shared" si="16"/>
        <v/>
      </c>
      <c r="L242" s="113"/>
      <c r="M242" s="110" t="str">
        <f t="shared" si="17"/>
        <v/>
      </c>
      <c r="N242" s="36"/>
      <c r="O242" s="36"/>
      <c r="P242" s="36"/>
      <c r="Q242" s="75"/>
      <c r="R242" s="75"/>
      <c r="S242" s="75"/>
      <c r="T242" s="75"/>
      <c r="U242" s="36"/>
      <c r="V242" s="69"/>
      <c r="W242" s="69"/>
      <c r="X242" s="38"/>
    </row>
    <row r="243" spans="1:24" ht="27" customHeight="1">
      <c r="A243" s="89"/>
      <c r="B243" s="57"/>
      <c r="C243" s="8"/>
      <c r="D243" s="8"/>
      <c r="E243" s="73"/>
      <c r="F243" s="14"/>
      <c r="G243" s="106"/>
      <c r="H243" s="106"/>
      <c r="I243" s="106"/>
      <c r="J243" s="106"/>
      <c r="K243" s="110" t="str">
        <f t="shared" si="16"/>
        <v/>
      </c>
      <c r="L243" s="114"/>
      <c r="M243" s="110" t="str">
        <f t="shared" si="17"/>
        <v/>
      </c>
      <c r="N243" s="8"/>
      <c r="O243" s="8"/>
      <c r="P243" s="8"/>
      <c r="Q243" s="76"/>
      <c r="R243" s="76"/>
      <c r="S243" s="76"/>
      <c r="T243" s="76"/>
      <c r="U243" s="8"/>
      <c r="V243" s="70"/>
      <c r="W243" s="70"/>
      <c r="X243" s="10"/>
    </row>
    <row r="244" spans="1:24" ht="27" customHeight="1">
      <c r="A244" s="90"/>
      <c r="B244" s="56"/>
      <c r="C244" s="36"/>
      <c r="D244" s="36"/>
      <c r="E244" s="72"/>
      <c r="F244" s="53"/>
      <c r="G244" s="105"/>
      <c r="H244" s="105"/>
      <c r="I244" s="105"/>
      <c r="J244" s="105"/>
      <c r="K244" s="110" t="str">
        <f t="shared" si="16"/>
        <v/>
      </c>
      <c r="L244" s="113"/>
      <c r="M244" s="110" t="str">
        <f t="shared" si="17"/>
        <v/>
      </c>
      <c r="N244" s="36"/>
      <c r="O244" s="36"/>
      <c r="P244" s="36"/>
      <c r="Q244" s="75"/>
      <c r="R244" s="75"/>
      <c r="S244" s="75"/>
      <c r="T244" s="75"/>
      <c r="U244" s="36"/>
      <c r="V244" s="69"/>
      <c r="W244" s="69"/>
      <c r="X244" s="38"/>
    </row>
    <row r="245" spans="1:24" ht="27" customHeight="1">
      <c r="A245" s="89"/>
      <c r="B245" s="57"/>
      <c r="C245" s="8"/>
      <c r="D245" s="8"/>
      <c r="E245" s="73"/>
      <c r="F245" s="14"/>
      <c r="G245" s="106"/>
      <c r="H245" s="106"/>
      <c r="I245" s="106"/>
      <c r="J245" s="106"/>
      <c r="K245" s="110" t="str">
        <f t="shared" si="16"/>
        <v/>
      </c>
      <c r="L245" s="114"/>
      <c r="M245" s="110" t="str">
        <f t="shared" si="17"/>
        <v/>
      </c>
      <c r="N245" s="8"/>
      <c r="O245" s="8"/>
      <c r="P245" s="8"/>
      <c r="Q245" s="76"/>
      <c r="R245" s="76"/>
      <c r="S245" s="76"/>
      <c r="T245" s="76"/>
      <c r="U245" s="8"/>
      <c r="V245" s="70"/>
      <c r="W245" s="70"/>
      <c r="X245" s="10"/>
    </row>
    <row r="246" spans="1:24" ht="27" customHeight="1">
      <c r="A246" s="90"/>
      <c r="B246" s="56"/>
      <c r="C246" s="36"/>
      <c r="D246" s="36"/>
      <c r="E246" s="72"/>
      <c r="F246" s="53"/>
      <c r="G246" s="105"/>
      <c r="H246" s="105"/>
      <c r="I246" s="105"/>
      <c r="J246" s="105"/>
      <c r="K246" s="110" t="str">
        <f t="shared" si="16"/>
        <v/>
      </c>
      <c r="L246" s="113"/>
      <c r="M246" s="110" t="str">
        <f t="shared" si="17"/>
        <v/>
      </c>
      <c r="N246" s="36"/>
      <c r="O246" s="36"/>
      <c r="P246" s="36"/>
      <c r="Q246" s="75"/>
      <c r="R246" s="75"/>
      <c r="S246" s="75"/>
      <c r="T246" s="75"/>
      <c r="U246" s="36"/>
      <c r="V246" s="69"/>
      <c r="W246" s="69"/>
      <c r="X246" s="38"/>
    </row>
    <row r="247" spans="1:24" ht="27" customHeight="1">
      <c r="A247" s="89"/>
      <c r="B247" s="57"/>
      <c r="C247" s="8"/>
      <c r="D247" s="8"/>
      <c r="E247" s="73"/>
      <c r="F247" s="14"/>
      <c r="G247" s="106"/>
      <c r="H247" s="106"/>
      <c r="I247" s="106"/>
      <c r="J247" s="106"/>
      <c r="K247" s="110" t="str">
        <f t="shared" si="16"/>
        <v/>
      </c>
      <c r="L247" s="114"/>
      <c r="M247" s="110" t="str">
        <f t="shared" si="17"/>
        <v/>
      </c>
      <c r="N247" s="8"/>
      <c r="O247" s="8"/>
      <c r="P247" s="8"/>
      <c r="Q247" s="76"/>
      <c r="R247" s="76"/>
      <c r="S247" s="76"/>
      <c r="T247" s="76"/>
      <c r="U247" s="8"/>
      <c r="V247" s="70"/>
      <c r="W247" s="70"/>
      <c r="X247" s="10"/>
    </row>
    <row r="248" spans="1:24" ht="27" customHeight="1">
      <c r="A248" s="90"/>
      <c r="B248" s="56"/>
      <c r="C248" s="36"/>
      <c r="D248" s="36"/>
      <c r="E248" s="72"/>
      <c r="F248" s="53"/>
      <c r="G248" s="105"/>
      <c r="H248" s="105"/>
      <c r="I248" s="105"/>
      <c r="J248" s="105"/>
      <c r="K248" s="110" t="str">
        <f t="shared" si="16"/>
        <v/>
      </c>
      <c r="L248" s="113"/>
      <c r="M248" s="110" t="str">
        <f t="shared" si="17"/>
        <v/>
      </c>
      <c r="N248" s="36"/>
      <c r="O248" s="36"/>
      <c r="P248" s="36"/>
      <c r="Q248" s="75"/>
      <c r="R248" s="75"/>
      <c r="S248" s="75"/>
      <c r="T248" s="75"/>
      <c r="U248" s="36"/>
      <c r="V248" s="69"/>
      <c r="W248" s="69"/>
      <c r="X248" s="38"/>
    </row>
    <row r="249" spans="1:24" ht="27" customHeight="1">
      <c r="A249" s="89"/>
      <c r="B249" s="57"/>
      <c r="C249" s="8"/>
      <c r="D249" s="8"/>
      <c r="E249" s="73"/>
      <c r="F249" s="14"/>
      <c r="G249" s="106"/>
      <c r="H249" s="106"/>
      <c r="I249" s="106"/>
      <c r="J249" s="106"/>
      <c r="K249" s="110" t="str">
        <f t="shared" si="16"/>
        <v/>
      </c>
      <c r="L249" s="114"/>
      <c r="M249" s="110" t="str">
        <f t="shared" si="17"/>
        <v/>
      </c>
      <c r="N249" s="8"/>
      <c r="O249" s="8"/>
      <c r="P249" s="8"/>
      <c r="Q249" s="76"/>
      <c r="R249" s="76"/>
      <c r="S249" s="76"/>
      <c r="T249" s="76"/>
      <c r="U249" s="8"/>
      <c r="V249" s="70"/>
      <c r="W249" s="70"/>
      <c r="X249" s="10"/>
    </row>
    <row r="250" spans="1:24" ht="27" customHeight="1">
      <c r="A250" s="90"/>
      <c r="B250" s="56"/>
      <c r="C250" s="36"/>
      <c r="D250" s="36"/>
      <c r="E250" s="72"/>
      <c r="F250" s="53"/>
      <c r="G250" s="105"/>
      <c r="H250" s="105"/>
      <c r="I250" s="105"/>
      <c r="J250" s="105"/>
      <c r="K250" s="110" t="str">
        <f t="shared" si="16"/>
        <v/>
      </c>
      <c r="L250" s="113"/>
      <c r="M250" s="110" t="str">
        <f t="shared" si="17"/>
        <v/>
      </c>
      <c r="N250" s="36"/>
      <c r="O250" s="36"/>
      <c r="P250" s="36"/>
      <c r="Q250" s="75"/>
      <c r="R250" s="75"/>
      <c r="S250" s="75"/>
      <c r="T250" s="75"/>
      <c r="U250" s="36"/>
      <c r="V250" s="69"/>
      <c r="W250" s="69"/>
      <c r="X250" s="38"/>
    </row>
    <row r="251" spans="1:24" ht="27" customHeight="1">
      <c r="A251" s="89"/>
      <c r="B251" s="57"/>
      <c r="C251" s="8"/>
      <c r="D251" s="8"/>
      <c r="E251" s="73"/>
      <c r="F251" s="14"/>
      <c r="G251" s="106"/>
      <c r="H251" s="106"/>
      <c r="I251" s="106"/>
      <c r="J251" s="106"/>
      <c r="K251" s="110" t="str">
        <f t="shared" si="16"/>
        <v/>
      </c>
      <c r="L251" s="114"/>
      <c r="M251" s="110" t="str">
        <f t="shared" si="17"/>
        <v/>
      </c>
      <c r="N251" s="8"/>
      <c r="O251" s="8"/>
      <c r="P251" s="8"/>
      <c r="Q251" s="76"/>
      <c r="R251" s="76"/>
      <c r="S251" s="76"/>
      <c r="T251" s="76"/>
      <c r="U251" s="8"/>
      <c r="V251" s="70"/>
      <c r="W251" s="70"/>
      <c r="X251" s="10"/>
    </row>
    <row r="252" spans="1:24" ht="27" customHeight="1">
      <c r="A252" s="90"/>
      <c r="B252" s="56"/>
      <c r="C252" s="36"/>
      <c r="D252" s="36"/>
      <c r="E252" s="72"/>
      <c r="F252" s="53"/>
      <c r="G252" s="105"/>
      <c r="H252" s="105"/>
      <c r="I252" s="105"/>
      <c r="J252" s="105"/>
      <c r="K252" s="110" t="str">
        <f t="shared" si="16"/>
        <v/>
      </c>
      <c r="L252" s="113"/>
      <c r="M252" s="110" t="str">
        <f t="shared" si="17"/>
        <v/>
      </c>
      <c r="N252" s="36"/>
      <c r="O252" s="36"/>
      <c r="P252" s="36"/>
      <c r="Q252" s="75"/>
      <c r="R252" s="75"/>
      <c r="S252" s="75"/>
      <c r="T252" s="75"/>
      <c r="U252" s="36"/>
      <c r="V252" s="69"/>
      <c r="W252" s="69"/>
      <c r="X252" s="38"/>
    </row>
    <row r="253" spans="1:24" ht="27" customHeight="1">
      <c r="A253" s="89"/>
      <c r="B253" s="57"/>
      <c r="C253" s="8"/>
      <c r="D253" s="8"/>
      <c r="E253" s="73"/>
      <c r="F253" s="14"/>
      <c r="G253" s="106"/>
      <c r="H253" s="106"/>
      <c r="I253" s="106"/>
      <c r="J253" s="106"/>
      <c r="K253" s="110" t="str">
        <f t="shared" si="16"/>
        <v/>
      </c>
      <c r="L253" s="114"/>
      <c r="M253" s="110" t="str">
        <f t="shared" si="17"/>
        <v/>
      </c>
      <c r="N253" s="8"/>
      <c r="O253" s="8"/>
      <c r="P253" s="8"/>
      <c r="Q253" s="76"/>
      <c r="R253" s="76"/>
      <c r="S253" s="76"/>
      <c r="T253" s="76"/>
      <c r="U253" s="8"/>
      <c r="V253" s="70"/>
      <c r="W253" s="70"/>
      <c r="X253" s="10"/>
    </row>
    <row r="254" spans="1:24" ht="27" customHeight="1">
      <c r="A254" s="90"/>
      <c r="B254" s="56"/>
      <c r="C254" s="36"/>
      <c r="D254" s="36"/>
      <c r="E254" s="72"/>
      <c r="F254" s="53"/>
      <c r="G254" s="105"/>
      <c r="H254" s="105"/>
      <c r="I254" s="105"/>
      <c r="J254" s="105"/>
      <c r="K254" s="110" t="str">
        <f t="shared" si="16"/>
        <v/>
      </c>
      <c r="L254" s="113"/>
      <c r="M254" s="110" t="str">
        <f t="shared" si="17"/>
        <v/>
      </c>
      <c r="N254" s="36"/>
      <c r="O254" s="36"/>
      <c r="P254" s="36"/>
      <c r="Q254" s="75"/>
      <c r="R254" s="75"/>
      <c r="S254" s="75"/>
      <c r="T254" s="75"/>
      <c r="U254" s="36"/>
      <c r="V254" s="69"/>
      <c r="W254" s="69"/>
      <c r="X254" s="38"/>
    </row>
    <row r="255" spans="1:24" ht="27" customHeight="1">
      <c r="A255" s="89"/>
      <c r="B255" s="57"/>
      <c r="C255" s="8"/>
      <c r="D255" s="8"/>
      <c r="E255" s="73"/>
      <c r="F255" s="14"/>
      <c r="G255" s="106"/>
      <c r="H255" s="106"/>
      <c r="I255" s="106"/>
      <c r="J255" s="106"/>
      <c r="K255" s="110" t="str">
        <f t="shared" si="16"/>
        <v/>
      </c>
      <c r="L255" s="114"/>
      <c r="M255" s="110" t="str">
        <f t="shared" si="17"/>
        <v/>
      </c>
      <c r="N255" s="8"/>
      <c r="O255" s="8"/>
      <c r="P255" s="8"/>
      <c r="Q255" s="76"/>
      <c r="R255" s="76"/>
      <c r="S255" s="76"/>
      <c r="T255" s="76"/>
      <c r="U255" s="8"/>
      <c r="V255" s="70"/>
      <c r="W255" s="70"/>
      <c r="X255" s="10"/>
    </row>
    <row r="256" spans="1:24" ht="27" customHeight="1">
      <c r="A256" s="90"/>
      <c r="B256" s="56"/>
      <c r="C256" s="36"/>
      <c r="D256" s="36"/>
      <c r="E256" s="72"/>
      <c r="F256" s="53"/>
      <c r="G256" s="105"/>
      <c r="H256" s="105"/>
      <c r="I256" s="105"/>
      <c r="J256" s="105"/>
      <c r="K256" s="110" t="str">
        <f t="shared" si="16"/>
        <v/>
      </c>
      <c r="L256" s="113"/>
      <c r="M256" s="110" t="str">
        <f t="shared" si="17"/>
        <v/>
      </c>
      <c r="N256" s="36"/>
      <c r="O256" s="36"/>
      <c r="P256" s="36"/>
      <c r="Q256" s="75"/>
      <c r="R256" s="75"/>
      <c r="S256" s="75"/>
      <c r="T256" s="75"/>
      <c r="U256" s="36"/>
      <c r="V256" s="69"/>
      <c r="W256" s="69"/>
      <c r="X256" s="38"/>
    </row>
    <row r="257" spans="1:24" ht="27" customHeight="1">
      <c r="A257" s="89"/>
      <c r="B257" s="57"/>
      <c r="C257" s="8"/>
      <c r="D257" s="8"/>
      <c r="E257" s="73"/>
      <c r="F257" s="14"/>
      <c r="G257" s="106"/>
      <c r="H257" s="106"/>
      <c r="I257" s="106"/>
      <c r="J257" s="106"/>
      <c r="K257" s="110" t="str">
        <f t="shared" si="16"/>
        <v/>
      </c>
      <c r="L257" s="114"/>
      <c r="M257" s="110" t="str">
        <f t="shared" si="17"/>
        <v/>
      </c>
      <c r="N257" s="8"/>
      <c r="O257" s="8"/>
      <c r="P257" s="8"/>
      <c r="Q257" s="76"/>
      <c r="R257" s="76"/>
      <c r="S257" s="76"/>
      <c r="T257" s="76"/>
      <c r="U257" s="8"/>
      <c r="V257" s="70"/>
      <c r="W257" s="70"/>
      <c r="X257" s="10"/>
    </row>
    <row r="258" spans="1:24" ht="27" customHeight="1">
      <c r="A258" s="90"/>
      <c r="B258" s="56"/>
      <c r="C258" s="36"/>
      <c r="D258" s="36"/>
      <c r="E258" s="72"/>
      <c r="F258" s="53"/>
      <c r="G258" s="105"/>
      <c r="H258" s="105"/>
      <c r="I258" s="105"/>
      <c r="J258" s="105"/>
      <c r="K258" s="110" t="str">
        <f t="shared" si="16"/>
        <v/>
      </c>
      <c r="L258" s="113"/>
      <c r="M258" s="110" t="str">
        <f t="shared" si="17"/>
        <v/>
      </c>
      <c r="N258" s="36"/>
      <c r="O258" s="36"/>
      <c r="P258" s="36"/>
      <c r="Q258" s="75"/>
      <c r="R258" s="75"/>
      <c r="S258" s="75"/>
      <c r="T258" s="75"/>
      <c r="U258" s="36"/>
      <c r="V258" s="69"/>
      <c r="W258" s="69"/>
      <c r="X258" s="38"/>
    </row>
    <row r="259" spans="1:24" ht="27" customHeight="1">
      <c r="A259" s="89"/>
      <c r="B259" s="57"/>
      <c r="C259" s="8"/>
      <c r="D259" s="8"/>
      <c r="E259" s="73"/>
      <c r="F259" s="14"/>
      <c r="G259" s="106"/>
      <c r="H259" s="106"/>
      <c r="I259" s="106"/>
      <c r="J259" s="106"/>
      <c r="K259" s="110" t="str">
        <f t="shared" si="16"/>
        <v/>
      </c>
      <c r="L259" s="114"/>
      <c r="M259" s="110" t="str">
        <f t="shared" si="17"/>
        <v/>
      </c>
      <c r="N259" s="8"/>
      <c r="O259" s="8"/>
      <c r="P259" s="8"/>
      <c r="Q259" s="76"/>
      <c r="R259" s="76"/>
      <c r="S259" s="76"/>
      <c r="T259" s="76"/>
      <c r="U259" s="8"/>
      <c r="V259" s="70"/>
      <c r="W259" s="70"/>
      <c r="X259" s="10"/>
    </row>
    <row r="260" spans="1:24" ht="27" customHeight="1">
      <c r="A260" s="90"/>
      <c r="B260" s="56"/>
      <c r="C260" s="36"/>
      <c r="D260" s="36"/>
      <c r="E260" s="72"/>
      <c r="F260" s="53"/>
      <c r="G260" s="105"/>
      <c r="H260" s="105"/>
      <c r="I260" s="105"/>
      <c r="J260" s="105"/>
      <c r="K260" s="110" t="str">
        <f t="shared" si="16"/>
        <v/>
      </c>
      <c r="L260" s="113"/>
      <c r="M260" s="110" t="str">
        <f t="shared" si="17"/>
        <v/>
      </c>
      <c r="N260" s="36"/>
      <c r="O260" s="36"/>
      <c r="P260" s="36"/>
      <c r="Q260" s="75"/>
      <c r="R260" s="75"/>
      <c r="S260" s="75"/>
      <c r="T260" s="75"/>
      <c r="U260" s="36"/>
      <c r="V260" s="69"/>
      <c r="W260" s="69"/>
      <c r="X260" s="38"/>
    </row>
    <row r="261" spans="1:24" ht="27" customHeight="1">
      <c r="A261" s="89"/>
      <c r="B261" s="57"/>
      <c r="C261" s="8"/>
      <c r="D261" s="8"/>
      <c r="E261" s="73"/>
      <c r="F261" s="14"/>
      <c r="G261" s="106"/>
      <c r="H261" s="106"/>
      <c r="I261" s="106"/>
      <c r="J261" s="106"/>
      <c r="K261" s="110" t="str">
        <f t="shared" si="16"/>
        <v/>
      </c>
      <c r="L261" s="114"/>
      <c r="M261" s="110" t="str">
        <f t="shared" si="17"/>
        <v/>
      </c>
      <c r="N261" s="8"/>
      <c r="O261" s="8"/>
      <c r="P261" s="8"/>
      <c r="Q261" s="76"/>
      <c r="R261" s="76"/>
      <c r="S261" s="76"/>
      <c r="T261" s="76"/>
      <c r="U261" s="8"/>
      <c r="V261" s="70"/>
      <c r="W261" s="70"/>
      <c r="X261" s="10"/>
    </row>
    <row r="262" spans="1:24" ht="27" customHeight="1">
      <c r="A262" s="90"/>
      <c r="B262" s="56"/>
      <c r="C262" s="36"/>
      <c r="D262" s="36"/>
      <c r="E262" s="72"/>
      <c r="F262" s="53"/>
      <c r="G262" s="105"/>
      <c r="H262" s="105"/>
      <c r="I262" s="105"/>
      <c r="J262" s="105"/>
      <c r="K262" s="110" t="str">
        <f t="shared" si="16"/>
        <v/>
      </c>
      <c r="L262" s="113"/>
      <c r="M262" s="110" t="str">
        <f t="shared" si="17"/>
        <v/>
      </c>
      <c r="N262" s="36"/>
      <c r="O262" s="36"/>
      <c r="P262" s="36"/>
      <c r="Q262" s="75"/>
      <c r="R262" s="75"/>
      <c r="S262" s="75"/>
      <c r="T262" s="75"/>
      <c r="U262" s="36"/>
      <c r="V262" s="69"/>
      <c r="W262" s="69"/>
      <c r="X262" s="38"/>
    </row>
    <row r="263" spans="1:24" ht="27" customHeight="1">
      <c r="A263" s="89"/>
      <c r="B263" s="57"/>
      <c r="C263" s="8"/>
      <c r="D263" s="8"/>
      <c r="E263" s="73"/>
      <c r="F263" s="14"/>
      <c r="G263" s="106"/>
      <c r="H263" s="106"/>
      <c r="I263" s="106"/>
      <c r="J263" s="106"/>
      <c r="K263" s="110" t="str">
        <f t="shared" si="16"/>
        <v/>
      </c>
      <c r="L263" s="114"/>
      <c r="M263" s="110" t="str">
        <f t="shared" si="17"/>
        <v/>
      </c>
      <c r="N263" s="8"/>
      <c r="O263" s="8"/>
      <c r="P263" s="8"/>
      <c r="Q263" s="76"/>
      <c r="R263" s="76"/>
      <c r="S263" s="76"/>
      <c r="T263" s="76"/>
      <c r="U263" s="8"/>
      <c r="V263" s="70"/>
      <c r="W263" s="70"/>
      <c r="X263" s="10"/>
    </row>
    <row r="264" spans="1:24" ht="27" customHeight="1">
      <c r="A264" s="90"/>
      <c r="B264" s="56"/>
      <c r="C264" s="36"/>
      <c r="D264" s="36"/>
      <c r="E264" s="72"/>
      <c r="F264" s="53"/>
      <c r="G264" s="105"/>
      <c r="H264" s="105"/>
      <c r="I264" s="105"/>
      <c r="J264" s="105"/>
      <c r="K264" s="110" t="str">
        <f t="shared" si="16"/>
        <v/>
      </c>
      <c r="L264" s="113"/>
      <c r="M264" s="110" t="str">
        <f t="shared" si="17"/>
        <v/>
      </c>
      <c r="N264" s="36"/>
      <c r="O264" s="36"/>
      <c r="P264" s="36"/>
      <c r="Q264" s="75"/>
      <c r="R264" s="75"/>
      <c r="S264" s="75"/>
      <c r="T264" s="75"/>
      <c r="U264" s="36"/>
      <c r="V264" s="69"/>
      <c r="W264" s="69"/>
      <c r="X264" s="38"/>
    </row>
    <row r="265" spans="1:24" ht="27" customHeight="1">
      <c r="A265" s="89"/>
      <c r="B265" s="57"/>
      <c r="C265" s="8"/>
      <c r="D265" s="8"/>
      <c r="E265" s="73"/>
      <c r="F265" s="14"/>
      <c r="G265" s="106"/>
      <c r="H265" s="106"/>
      <c r="I265" s="106"/>
      <c r="J265" s="106"/>
      <c r="K265" s="110" t="str">
        <f t="shared" ref="K265:K296" si="18">IF(A265="","",G265+I265+J265)</f>
        <v/>
      </c>
      <c r="L265" s="114"/>
      <c r="M265" s="110" t="str">
        <f t="shared" ref="M265:M296" si="19">IF(A265="","",IFERROR(K265/L265,""))</f>
        <v/>
      </c>
      <c r="N265" s="8"/>
      <c r="O265" s="8"/>
      <c r="P265" s="8"/>
      <c r="Q265" s="76"/>
      <c r="R265" s="76"/>
      <c r="S265" s="76"/>
      <c r="T265" s="76"/>
      <c r="U265" s="8"/>
      <c r="V265" s="70"/>
      <c r="W265" s="70"/>
      <c r="X265" s="10"/>
    </row>
    <row r="266" spans="1:24" ht="27" customHeight="1">
      <c r="A266" s="90"/>
      <c r="B266" s="56"/>
      <c r="C266" s="36"/>
      <c r="D266" s="36"/>
      <c r="E266" s="72"/>
      <c r="F266" s="53"/>
      <c r="G266" s="105"/>
      <c r="H266" s="105"/>
      <c r="I266" s="105"/>
      <c r="J266" s="105"/>
      <c r="K266" s="110" t="str">
        <f t="shared" si="18"/>
        <v/>
      </c>
      <c r="L266" s="113"/>
      <c r="M266" s="110" t="str">
        <f t="shared" si="19"/>
        <v/>
      </c>
      <c r="N266" s="36"/>
      <c r="O266" s="36"/>
      <c r="P266" s="36"/>
      <c r="Q266" s="75"/>
      <c r="R266" s="75"/>
      <c r="S266" s="75"/>
      <c r="T266" s="75"/>
      <c r="U266" s="36"/>
      <c r="V266" s="69"/>
      <c r="W266" s="69"/>
      <c r="X266" s="38"/>
    </row>
    <row r="267" spans="1:24" ht="27" customHeight="1">
      <c r="A267" s="89"/>
      <c r="B267" s="57"/>
      <c r="C267" s="8"/>
      <c r="D267" s="8"/>
      <c r="E267" s="73"/>
      <c r="F267" s="14"/>
      <c r="G267" s="106"/>
      <c r="H267" s="106"/>
      <c r="I267" s="106"/>
      <c r="J267" s="106"/>
      <c r="K267" s="110" t="str">
        <f t="shared" si="18"/>
        <v/>
      </c>
      <c r="L267" s="114"/>
      <c r="M267" s="110" t="str">
        <f t="shared" si="19"/>
        <v/>
      </c>
      <c r="N267" s="8"/>
      <c r="O267" s="8"/>
      <c r="P267" s="8"/>
      <c r="Q267" s="76"/>
      <c r="R267" s="76"/>
      <c r="S267" s="76"/>
      <c r="T267" s="76"/>
      <c r="U267" s="8"/>
      <c r="V267" s="70"/>
      <c r="W267" s="70"/>
      <c r="X267" s="10"/>
    </row>
    <row r="268" spans="1:24" ht="27" customHeight="1">
      <c r="A268" s="90"/>
      <c r="B268" s="56"/>
      <c r="C268" s="36"/>
      <c r="D268" s="36"/>
      <c r="E268" s="72"/>
      <c r="F268" s="53"/>
      <c r="G268" s="105"/>
      <c r="H268" s="105"/>
      <c r="I268" s="105"/>
      <c r="J268" s="105"/>
      <c r="K268" s="110" t="str">
        <f t="shared" si="18"/>
        <v/>
      </c>
      <c r="L268" s="113"/>
      <c r="M268" s="110" t="str">
        <f t="shared" si="19"/>
        <v/>
      </c>
      <c r="N268" s="36"/>
      <c r="O268" s="36"/>
      <c r="P268" s="36"/>
      <c r="Q268" s="75"/>
      <c r="R268" s="75"/>
      <c r="S268" s="75"/>
      <c r="T268" s="75"/>
      <c r="U268" s="36"/>
      <c r="V268" s="69"/>
      <c r="W268" s="69"/>
      <c r="X268" s="38"/>
    </row>
    <row r="269" spans="1:24" ht="27" customHeight="1">
      <c r="A269" s="89"/>
      <c r="B269" s="57"/>
      <c r="C269" s="8"/>
      <c r="D269" s="8"/>
      <c r="E269" s="73"/>
      <c r="F269" s="14"/>
      <c r="G269" s="106"/>
      <c r="H269" s="106"/>
      <c r="I269" s="106"/>
      <c r="J269" s="106"/>
      <c r="K269" s="110" t="str">
        <f t="shared" si="18"/>
        <v/>
      </c>
      <c r="L269" s="114"/>
      <c r="M269" s="110" t="str">
        <f t="shared" si="19"/>
        <v/>
      </c>
      <c r="N269" s="8"/>
      <c r="O269" s="8"/>
      <c r="P269" s="8"/>
      <c r="Q269" s="76"/>
      <c r="R269" s="76"/>
      <c r="S269" s="76"/>
      <c r="T269" s="76"/>
      <c r="U269" s="8"/>
      <c r="V269" s="70"/>
      <c r="W269" s="70"/>
      <c r="X269" s="10"/>
    </row>
    <row r="270" spans="1:24" ht="27" customHeight="1">
      <c r="A270" s="90"/>
      <c r="B270" s="56"/>
      <c r="C270" s="36"/>
      <c r="D270" s="36"/>
      <c r="E270" s="72"/>
      <c r="F270" s="53"/>
      <c r="G270" s="105"/>
      <c r="H270" s="105"/>
      <c r="I270" s="105"/>
      <c r="J270" s="105"/>
      <c r="K270" s="110" t="str">
        <f t="shared" si="18"/>
        <v/>
      </c>
      <c r="L270" s="113"/>
      <c r="M270" s="110" t="str">
        <f t="shared" si="19"/>
        <v/>
      </c>
      <c r="N270" s="36"/>
      <c r="O270" s="36"/>
      <c r="P270" s="36"/>
      <c r="Q270" s="75"/>
      <c r="R270" s="75"/>
      <c r="S270" s="75"/>
      <c r="T270" s="75"/>
      <c r="U270" s="36"/>
      <c r="V270" s="69"/>
      <c r="W270" s="69"/>
      <c r="X270" s="38"/>
    </row>
    <row r="271" spans="1:24" ht="27" customHeight="1">
      <c r="A271" s="89"/>
      <c r="B271" s="57"/>
      <c r="C271" s="8"/>
      <c r="D271" s="8"/>
      <c r="E271" s="73"/>
      <c r="F271" s="14"/>
      <c r="G271" s="106"/>
      <c r="H271" s="106"/>
      <c r="I271" s="106"/>
      <c r="J271" s="106"/>
      <c r="K271" s="110" t="str">
        <f t="shared" si="18"/>
        <v/>
      </c>
      <c r="L271" s="114"/>
      <c r="M271" s="110" t="str">
        <f t="shared" si="19"/>
        <v/>
      </c>
      <c r="N271" s="8"/>
      <c r="O271" s="8"/>
      <c r="P271" s="8"/>
      <c r="Q271" s="76"/>
      <c r="R271" s="76"/>
      <c r="S271" s="76"/>
      <c r="T271" s="76"/>
      <c r="U271" s="8"/>
      <c r="V271" s="70"/>
      <c r="W271" s="70"/>
      <c r="X271" s="10"/>
    </row>
    <row r="272" spans="1:24" ht="27" customHeight="1">
      <c r="A272" s="90"/>
      <c r="B272" s="56"/>
      <c r="C272" s="36"/>
      <c r="D272" s="36"/>
      <c r="E272" s="72"/>
      <c r="F272" s="53"/>
      <c r="G272" s="105"/>
      <c r="H272" s="105"/>
      <c r="I272" s="105"/>
      <c r="J272" s="105"/>
      <c r="K272" s="110" t="str">
        <f t="shared" si="18"/>
        <v/>
      </c>
      <c r="L272" s="113"/>
      <c r="M272" s="110" t="str">
        <f t="shared" si="19"/>
        <v/>
      </c>
      <c r="N272" s="36"/>
      <c r="O272" s="36"/>
      <c r="P272" s="36"/>
      <c r="Q272" s="75"/>
      <c r="R272" s="75"/>
      <c r="S272" s="75"/>
      <c r="T272" s="75"/>
      <c r="U272" s="36"/>
      <c r="V272" s="69"/>
      <c r="W272" s="69"/>
      <c r="X272" s="38"/>
    </row>
    <row r="273" spans="1:24" ht="27" customHeight="1">
      <c r="A273" s="89"/>
      <c r="B273" s="57"/>
      <c r="C273" s="8"/>
      <c r="D273" s="8"/>
      <c r="E273" s="73"/>
      <c r="F273" s="14"/>
      <c r="G273" s="106"/>
      <c r="H273" s="106"/>
      <c r="I273" s="106"/>
      <c r="J273" s="106"/>
      <c r="K273" s="110" t="str">
        <f t="shared" si="18"/>
        <v/>
      </c>
      <c r="L273" s="114"/>
      <c r="M273" s="110" t="str">
        <f t="shared" si="19"/>
        <v/>
      </c>
      <c r="N273" s="8"/>
      <c r="O273" s="8"/>
      <c r="P273" s="8"/>
      <c r="Q273" s="76"/>
      <c r="R273" s="76"/>
      <c r="S273" s="76"/>
      <c r="T273" s="76"/>
      <c r="U273" s="8"/>
      <c r="V273" s="70"/>
      <c r="W273" s="70"/>
      <c r="X273" s="10"/>
    </row>
    <row r="274" spans="1:24" ht="27" customHeight="1">
      <c r="A274" s="90"/>
      <c r="B274" s="56"/>
      <c r="C274" s="36"/>
      <c r="D274" s="36"/>
      <c r="E274" s="72"/>
      <c r="F274" s="53"/>
      <c r="G274" s="105"/>
      <c r="H274" s="105"/>
      <c r="I274" s="105"/>
      <c r="J274" s="105"/>
      <c r="K274" s="110" t="str">
        <f t="shared" si="18"/>
        <v/>
      </c>
      <c r="L274" s="113"/>
      <c r="M274" s="110" t="str">
        <f t="shared" si="19"/>
        <v/>
      </c>
      <c r="N274" s="36"/>
      <c r="O274" s="36"/>
      <c r="P274" s="36"/>
      <c r="Q274" s="75"/>
      <c r="R274" s="75"/>
      <c r="S274" s="75"/>
      <c r="T274" s="75"/>
      <c r="U274" s="36"/>
      <c r="V274" s="69"/>
      <c r="W274" s="69"/>
      <c r="X274" s="38"/>
    </row>
    <row r="275" spans="1:24" ht="27" customHeight="1">
      <c r="A275" s="89"/>
      <c r="B275" s="57"/>
      <c r="C275" s="8"/>
      <c r="D275" s="8"/>
      <c r="E275" s="73"/>
      <c r="F275" s="14"/>
      <c r="G275" s="106"/>
      <c r="H275" s="106"/>
      <c r="I275" s="106"/>
      <c r="J275" s="106"/>
      <c r="K275" s="110" t="str">
        <f t="shared" si="18"/>
        <v/>
      </c>
      <c r="L275" s="114"/>
      <c r="M275" s="110" t="str">
        <f t="shared" si="19"/>
        <v/>
      </c>
      <c r="N275" s="8"/>
      <c r="O275" s="8"/>
      <c r="P275" s="8"/>
      <c r="Q275" s="76"/>
      <c r="R275" s="76"/>
      <c r="S275" s="76"/>
      <c r="T275" s="76"/>
      <c r="U275" s="8"/>
      <c r="V275" s="70"/>
      <c r="W275" s="70"/>
      <c r="X275" s="10"/>
    </row>
    <row r="276" spans="1:24" ht="27" customHeight="1">
      <c r="A276" s="90"/>
      <c r="B276" s="56"/>
      <c r="C276" s="36"/>
      <c r="D276" s="36"/>
      <c r="E276" s="72"/>
      <c r="F276" s="53"/>
      <c r="G276" s="105"/>
      <c r="H276" s="105"/>
      <c r="I276" s="105"/>
      <c r="J276" s="105"/>
      <c r="K276" s="110" t="str">
        <f t="shared" si="18"/>
        <v/>
      </c>
      <c r="L276" s="113"/>
      <c r="M276" s="110" t="str">
        <f t="shared" si="19"/>
        <v/>
      </c>
      <c r="N276" s="36"/>
      <c r="O276" s="36"/>
      <c r="P276" s="36"/>
      <c r="Q276" s="75"/>
      <c r="R276" s="75"/>
      <c r="S276" s="75"/>
      <c r="T276" s="75"/>
      <c r="U276" s="36"/>
      <c r="V276" s="69"/>
      <c r="W276" s="69"/>
      <c r="X276" s="38"/>
    </row>
    <row r="277" spans="1:24" ht="27" customHeight="1">
      <c r="A277" s="89"/>
      <c r="B277" s="57"/>
      <c r="C277" s="8"/>
      <c r="D277" s="8"/>
      <c r="E277" s="73"/>
      <c r="F277" s="14"/>
      <c r="G277" s="106"/>
      <c r="H277" s="106"/>
      <c r="I277" s="106"/>
      <c r="J277" s="106"/>
      <c r="K277" s="110" t="str">
        <f t="shared" si="18"/>
        <v/>
      </c>
      <c r="L277" s="114"/>
      <c r="M277" s="110" t="str">
        <f t="shared" si="19"/>
        <v/>
      </c>
      <c r="N277" s="8"/>
      <c r="O277" s="8"/>
      <c r="P277" s="8"/>
      <c r="Q277" s="76"/>
      <c r="R277" s="76"/>
      <c r="S277" s="76"/>
      <c r="T277" s="76"/>
      <c r="U277" s="8"/>
      <c r="V277" s="70"/>
      <c r="W277" s="70"/>
      <c r="X277" s="10"/>
    </row>
    <row r="278" spans="1:24" ht="27" customHeight="1">
      <c r="A278" s="90"/>
      <c r="B278" s="56"/>
      <c r="C278" s="36"/>
      <c r="D278" s="36"/>
      <c r="E278" s="72"/>
      <c r="F278" s="53"/>
      <c r="G278" s="105"/>
      <c r="H278" s="105"/>
      <c r="I278" s="105"/>
      <c r="J278" s="105"/>
      <c r="K278" s="110" t="str">
        <f t="shared" si="18"/>
        <v/>
      </c>
      <c r="L278" s="113"/>
      <c r="M278" s="110" t="str">
        <f t="shared" si="19"/>
        <v/>
      </c>
      <c r="N278" s="36"/>
      <c r="O278" s="36"/>
      <c r="P278" s="36"/>
      <c r="Q278" s="75"/>
      <c r="R278" s="75"/>
      <c r="S278" s="75"/>
      <c r="T278" s="75"/>
      <c r="U278" s="36"/>
      <c r="V278" s="69"/>
      <c r="W278" s="69"/>
      <c r="X278" s="38"/>
    </row>
    <row r="279" spans="1:24" ht="27" customHeight="1">
      <c r="A279" s="89"/>
      <c r="B279" s="57"/>
      <c r="C279" s="8"/>
      <c r="D279" s="8"/>
      <c r="E279" s="73"/>
      <c r="F279" s="14"/>
      <c r="G279" s="106"/>
      <c r="H279" s="106"/>
      <c r="I279" s="106"/>
      <c r="J279" s="106"/>
      <c r="K279" s="110" t="str">
        <f t="shared" si="18"/>
        <v/>
      </c>
      <c r="L279" s="114"/>
      <c r="M279" s="110" t="str">
        <f t="shared" si="19"/>
        <v/>
      </c>
      <c r="N279" s="8"/>
      <c r="O279" s="8"/>
      <c r="P279" s="8"/>
      <c r="Q279" s="76"/>
      <c r="R279" s="76"/>
      <c r="S279" s="76"/>
      <c r="T279" s="76"/>
      <c r="U279" s="8"/>
      <c r="V279" s="70"/>
      <c r="W279" s="70"/>
      <c r="X279" s="10"/>
    </row>
    <row r="280" spans="1:24" ht="27" customHeight="1">
      <c r="A280" s="90"/>
      <c r="B280" s="56"/>
      <c r="C280" s="36"/>
      <c r="D280" s="36"/>
      <c r="E280" s="72"/>
      <c r="F280" s="53"/>
      <c r="G280" s="105"/>
      <c r="H280" s="105"/>
      <c r="I280" s="105"/>
      <c r="J280" s="105"/>
      <c r="K280" s="110" t="str">
        <f t="shared" si="18"/>
        <v/>
      </c>
      <c r="L280" s="113"/>
      <c r="M280" s="110" t="str">
        <f t="shared" si="19"/>
        <v/>
      </c>
      <c r="N280" s="36"/>
      <c r="O280" s="36"/>
      <c r="P280" s="36"/>
      <c r="Q280" s="75"/>
      <c r="R280" s="75"/>
      <c r="S280" s="75"/>
      <c r="T280" s="75"/>
      <c r="U280" s="36"/>
      <c r="V280" s="69"/>
      <c r="W280" s="69"/>
      <c r="X280" s="38"/>
    </row>
    <row r="281" spans="1:24" ht="27" customHeight="1">
      <c r="A281" s="89"/>
      <c r="B281" s="57"/>
      <c r="C281" s="8"/>
      <c r="D281" s="8"/>
      <c r="E281" s="73"/>
      <c r="F281" s="14"/>
      <c r="G281" s="106"/>
      <c r="H281" s="106"/>
      <c r="I281" s="106"/>
      <c r="J281" s="106"/>
      <c r="K281" s="110" t="str">
        <f t="shared" si="18"/>
        <v/>
      </c>
      <c r="L281" s="114"/>
      <c r="M281" s="110" t="str">
        <f t="shared" si="19"/>
        <v/>
      </c>
      <c r="N281" s="8"/>
      <c r="O281" s="8"/>
      <c r="P281" s="8"/>
      <c r="Q281" s="76"/>
      <c r="R281" s="76"/>
      <c r="S281" s="76"/>
      <c r="T281" s="76"/>
      <c r="U281" s="8"/>
      <c r="V281" s="70"/>
      <c r="W281" s="70"/>
      <c r="X281" s="10"/>
    </row>
    <row r="282" spans="1:24" ht="27" customHeight="1">
      <c r="A282" s="90"/>
      <c r="B282" s="56"/>
      <c r="C282" s="36"/>
      <c r="D282" s="36"/>
      <c r="E282" s="72"/>
      <c r="F282" s="53"/>
      <c r="G282" s="105"/>
      <c r="H282" s="105"/>
      <c r="I282" s="105"/>
      <c r="J282" s="105"/>
      <c r="K282" s="110" t="str">
        <f t="shared" si="18"/>
        <v/>
      </c>
      <c r="L282" s="113"/>
      <c r="M282" s="110" t="str">
        <f t="shared" si="19"/>
        <v/>
      </c>
      <c r="N282" s="36"/>
      <c r="O282" s="36"/>
      <c r="P282" s="36"/>
      <c r="Q282" s="75"/>
      <c r="R282" s="75"/>
      <c r="S282" s="75"/>
      <c r="T282" s="75"/>
      <c r="U282" s="36"/>
      <c r="V282" s="69"/>
      <c r="W282" s="69"/>
      <c r="X282" s="38"/>
    </row>
    <row r="283" spans="1:24" ht="27" customHeight="1">
      <c r="A283" s="89"/>
      <c r="B283" s="57"/>
      <c r="C283" s="8"/>
      <c r="D283" s="8"/>
      <c r="E283" s="73"/>
      <c r="F283" s="14"/>
      <c r="G283" s="106"/>
      <c r="H283" s="106"/>
      <c r="I283" s="106"/>
      <c r="J283" s="106"/>
      <c r="K283" s="110" t="str">
        <f t="shared" si="18"/>
        <v/>
      </c>
      <c r="L283" s="114"/>
      <c r="M283" s="110" t="str">
        <f t="shared" si="19"/>
        <v/>
      </c>
      <c r="N283" s="8"/>
      <c r="O283" s="8"/>
      <c r="P283" s="8"/>
      <c r="Q283" s="76"/>
      <c r="R283" s="76"/>
      <c r="S283" s="76"/>
      <c r="T283" s="76"/>
      <c r="U283" s="8"/>
      <c r="V283" s="70"/>
      <c r="W283" s="70"/>
      <c r="X283" s="10"/>
    </row>
    <row r="284" spans="1:24" ht="27" customHeight="1">
      <c r="A284" s="90"/>
      <c r="B284" s="56"/>
      <c r="C284" s="36"/>
      <c r="D284" s="36"/>
      <c r="E284" s="72"/>
      <c r="F284" s="53"/>
      <c r="G284" s="105"/>
      <c r="H284" s="105"/>
      <c r="I284" s="105"/>
      <c r="J284" s="105"/>
      <c r="K284" s="110" t="str">
        <f t="shared" si="18"/>
        <v/>
      </c>
      <c r="L284" s="113"/>
      <c r="M284" s="110" t="str">
        <f t="shared" si="19"/>
        <v/>
      </c>
      <c r="N284" s="36"/>
      <c r="O284" s="36"/>
      <c r="P284" s="36"/>
      <c r="Q284" s="75"/>
      <c r="R284" s="75"/>
      <c r="S284" s="75"/>
      <c r="T284" s="75"/>
      <c r="U284" s="36"/>
      <c r="V284" s="69"/>
      <c r="W284" s="69"/>
      <c r="X284" s="38"/>
    </row>
    <row r="285" spans="1:24" ht="27" customHeight="1">
      <c r="A285" s="89"/>
      <c r="B285" s="57"/>
      <c r="C285" s="8"/>
      <c r="D285" s="8"/>
      <c r="E285" s="73"/>
      <c r="F285" s="14"/>
      <c r="G285" s="106"/>
      <c r="H285" s="106"/>
      <c r="I285" s="106"/>
      <c r="J285" s="106"/>
      <c r="K285" s="110" t="str">
        <f t="shared" si="18"/>
        <v/>
      </c>
      <c r="L285" s="114"/>
      <c r="M285" s="110" t="str">
        <f t="shared" si="19"/>
        <v/>
      </c>
      <c r="N285" s="8"/>
      <c r="O285" s="8"/>
      <c r="P285" s="8"/>
      <c r="Q285" s="76"/>
      <c r="R285" s="76"/>
      <c r="S285" s="76"/>
      <c r="T285" s="76"/>
      <c r="U285" s="8"/>
      <c r="V285" s="70"/>
      <c r="W285" s="70"/>
      <c r="X285" s="10"/>
    </row>
    <row r="286" spans="1:24" ht="27" customHeight="1">
      <c r="A286" s="90"/>
      <c r="B286" s="56"/>
      <c r="C286" s="36"/>
      <c r="D286" s="36"/>
      <c r="E286" s="72"/>
      <c r="F286" s="53"/>
      <c r="G286" s="105"/>
      <c r="H286" s="105"/>
      <c r="I286" s="105"/>
      <c r="J286" s="105"/>
      <c r="K286" s="110" t="str">
        <f t="shared" si="18"/>
        <v/>
      </c>
      <c r="L286" s="113"/>
      <c r="M286" s="110" t="str">
        <f t="shared" si="19"/>
        <v/>
      </c>
      <c r="N286" s="36"/>
      <c r="O286" s="36"/>
      <c r="P286" s="36"/>
      <c r="Q286" s="75"/>
      <c r="R286" s="75"/>
      <c r="S286" s="75"/>
      <c r="T286" s="75"/>
      <c r="U286" s="36"/>
      <c r="V286" s="69"/>
      <c r="W286" s="69"/>
      <c r="X286" s="38"/>
    </row>
    <row r="287" spans="1:24" ht="27" customHeight="1">
      <c r="A287" s="89"/>
      <c r="B287" s="57"/>
      <c r="C287" s="8"/>
      <c r="D287" s="8"/>
      <c r="E287" s="73"/>
      <c r="F287" s="14"/>
      <c r="G287" s="106"/>
      <c r="H287" s="106"/>
      <c r="I287" s="106"/>
      <c r="J287" s="106"/>
      <c r="K287" s="110" t="str">
        <f t="shared" si="18"/>
        <v/>
      </c>
      <c r="L287" s="114"/>
      <c r="M287" s="110" t="str">
        <f t="shared" si="19"/>
        <v/>
      </c>
      <c r="N287" s="8"/>
      <c r="O287" s="8"/>
      <c r="P287" s="8"/>
      <c r="Q287" s="76"/>
      <c r="R287" s="76"/>
      <c r="S287" s="76"/>
      <c r="T287" s="76"/>
      <c r="U287" s="8"/>
      <c r="V287" s="70"/>
      <c r="W287" s="70"/>
      <c r="X287" s="10"/>
    </row>
    <row r="288" spans="1:24" ht="27" customHeight="1">
      <c r="A288" s="90"/>
      <c r="B288" s="56"/>
      <c r="C288" s="36"/>
      <c r="D288" s="36"/>
      <c r="E288" s="72"/>
      <c r="F288" s="53"/>
      <c r="G288" s="105"/>
      <c r="H288" s="105"/>
      <c r="I288" s="105"/>
      <c r="J288" s="105"/>
      <c r="K288" s="110" t="str">
        <f t="shared" si="18"/>
        <v/>
      </c>
      <c r="L288" s="113"/>
      <c r="M288" s="110" t="str">
        <f t="shared" si="19"/>
        <v/>
      </c>
      <c r="N288" s="36"/>
      <c r="O288" s="36"/>
      <c r="P288" s="36"/>
      <c r="Q288" s="75"/>
      <c r="R288" s="75"/>
      <c r="S288" s="75"/>
      <c r="T288" s="75"/>
      <c r="U288" s="36"/>
      <c r="V288" s="69"/>
      <c r="W288" s="69"/>
      <c r="X288" s="38"/>
    </row>
    <row r="289" spans="1:24" ht="27" customHeight="1">
      <c r="A289" s="89"/>
      <c r="B289" s="57"/>
      <c r="C289" s="8"/>
      <c r="D289" s="8"/>
      <c r="E289" s="73"/>
      <c r="F289" s="14"/>
      <c r="G289" s="106"/>
      <c r="H289" s="106"/>
      <c r="I289" s="106"/>
      <c r="J289" s="106"/>
      <c r="K289" s="110" t="str">
        <f t="shared" si="18"/>
        <v/>
      </c>
      <c r="L289" s="114"/>
      <c r="M289" s="110" t="str">
        <f t="shared" si="19"/>
        <v/>
      </c>
      <c r="N289" s="8"/>
      <c r="O289" s="8"/>
      <c r="P289" s="8"/>
      <c r="Q289" s="76"/>
      <c r="R289" s="76"/>
      <c r="S289" s="76"/>
      <c r="T289" s="76"/>
      <c r="U289" s="8"/>
      <c r="V289" s="70"/>
      <c r="W289" s="70"/>
      <c r="X289" s="10"/>
    </row>
    <row r="290" spans="1:24" ht="27" customHeight="1">
      <c r="A290" s="90"/>
      <c r="B290" s="56"/>
      <c r="C290" s="36"/>
      <c r="D290" s="36"/>
      <c r="E290" s="72"/>
      <c r="F290" s="53"/>
      <c r="G290" s="105"/>
      <c r="H290" s="105"/>
      <c r="I290" s="105"/>
      <c r="J290" s="105"/>
      <c r="K290" s="110" t="str">
        <f t="shared" si="18"/>
        <v/>
      </c>
      <c r="L290" s="113"/>
      <c r="M290" s="110" t="str">
        <f t="shared" si="19"/>
        <v/>
      </c>
      <c r="N290" s="36"/>
      <c r="O290" s="36"/>
      <c r="P290" s="36"/>
      <c r="Q290" s="75"/>
      <c r="R290" s="75"/>
      <c r="S290" s="75"/>
      <c r="T290" s="75"/>
      <c r="U290" s="36"/>
      <c r="V290" s="69"/>
      <c r="W290" s="69"/>
      <c r="X290" s="38"/>
    </row>
    <row r="291" spans="1:24" ht="27" customHeight="1">
      <c r="A291" s="89"/>
      <c r="B291" s="57"/>
      <c r="C291" s="8"/>
      <c r="D291" s="8"/>
      <c r="E291" s="73"/>
      <c r="F291" s="14"/>
      <c r="G291" s="106"/>
      <c r="H291" s="106"/>
      <c r="I291" s="106"/>
      <c r="J291" s="106"/>
      <c r="K291" s="110" t="str">
        <f t="shared" si="18"/>
        <v/>
      </c>
      <c r="L291" s="114"/>
      <c r="M291" s="110" t="str">
        <f t="shared" si="19"/>
        <v/>
      </c>
      <c r="N291" s="8"/>
      <c r="O291" s="8"/>
      <c r="P291" s="8"/>
      <c r="Q291" s="76"/>
      <c r="R291" s="76"/>
      <c r="S291" s="76"/>
      <c r="T291" s="76"/>
      <c r="U291" s="8"/>
      <c r="V291" s="70"/>
      <c r="W291" s="70"/>
      <c r="X291" s="10"/>
    </row>
    <row r="292" spans="1:24" ht="27" customHeight="1">
      <c r="A292" s="90"/>
      <c r="B292" s="56"/>
      <c r="C292" s="36"/>
      <c r="D292" s="36"/>
      <c r="E292" s="72"/>
      <c r="F292" s="53"/>
      <c r="G292" s="105"/>
      <c r="H292" s="105"/>
      <c r="I292" s="105"/>
      <c r="J292" s="105"/>
      <c r="K292" s="110" t="str">
        <f t="shared" si="18"/>
        <v/>
      </c>
      <c r="L292" s="113"/>
      <c r="M292" s="110" t="str">
        <f t="shared" si="19"/>
        <v/>
      </c>
      <c r="N292" s="36"/>
      <c r="O292" s="36"/>
      <c r="P292" s="36"/>
      <c r="Q292" s="75"/>
      <c r="R292" s="75"/>
      <c r="S292" s="75"/>
      <c r="T292" s="75"/>
      <c r="U292" s="36"/>
      <c r="V292" s="69"/>
      <c r="W292" s="69"/>
      <c r="X292" s="38"/>
    </row>
    <row r="293" spans="1:24" ht="27" customHeight="1">
      <c r="A293" s="89"/>
      <c r="B293" s="57"/>
      <c r="C293" s="8"/>
      <c r="D293" s="8"/>
      <c r="E293" s="73"/>
      <c r="F293" s="14"/>
      <c r="G293" s="106"/>
      <c r="H293" s="106"/>
      <c r="I293" s="106"/>
      <c r="J293" s="106"/>
      <c r="K293" s="110" t="str">
        <f t="shared" si="18"/>
        <v/>
      </c>
      <c r="L293" s="114"/>
      <c r="M293" s="110" t="str">
        <f t="shared" si="19"/>
        <v/>
      </c>
      <c r="N293" s="8"/>
      <c r="O293" s="8"/>
      <c r="P293" s="8"/>
      <c r="Q293" s="76"/>
      <c r="R293" s="76"/>
      <c r="S293" s="76"/>
      <c r="T293" s="76"/>
      <c r="U293" s="8"/>
      <c r="V293" s="70"/>
      <c r="W293" s="70"/>
      <c r="X293" s="10"/>
    </row>
    <row r="294" spans="1:24" ht="27" customHeight="1">
      <c r="A294" s="90"/>
      <c r="B294" s="56"/>
      <c r="C294" s="36"/>
      <c r="D294" s="36"/>
      <c r="E294" s="72"/>
      <c r="F294" s="53"/>
      <c r="G294" s="105"/>
      <c r="H294" s="105"/>
      <c r="I294" s="105"/>
      <c r="J294" s="105"/>
      <c r="K294" s="110" t="str">
        <f t="shared" si="18"/>
        <v/>
      </c>
      <c r="L294" s="113"/>
      <c r="M294" s="110" t="str">
        <f t="shared" si="19"/>
        <v/>
      </c>
      <c r="N294" s="36"/>
      <c r="O294" s="36"/>
      <c r="P294" s="36"/>
      <c r="Q294" s="75"/>
      <c r="R294" s="75"/>
      <c r="S294" s="75"/>
      <c r="T294" s="75"/>
      <c r="U294" s="36"/>
      <c r="V294" s="69"/>
      <c r="W294" s="69"/>
      <c r="X294" s="38"/>
    </row>
    <row r="295" spans="1:24" ht="27" customHeight="1">
      <c r="A295" s="89"/>
      <c r="B295" s="57"/>
      <c r="C295" s="8"/>
      <c r="D295" s="8"/>
      <c r="E295" s="73"/>
      <c r="F295" s="14"/>
      <c r="G295" s="106"/>
      <c r="H295" s="106"/>
      <c r="I295" s="106"/>
      <c r="J295" s="106"/>
      <c r="K295" s="110" t="str">
        <f t="shared" si="18"/>
        <v/>
      </c>
      <c r="L295" s="114"/>
      <c r="M295" s="110" t="str">
        <f t="shared" si="19"/>
        <v/>
      </c>
      <c r="N295" s="8"/>
      <c r="O295" s="8"/>
      <c r="P295" s="8"/>
      <c r="Q295" s="76"/>
      <c r="R295" s="76"/>
      <c r="S295" s="76"/>
      <c r="T295" s="76"/>
      <c r="U295" s="8"/>
      <c r="V295" s="70"/>
      <c r="W295" s="70"/>
      <c r="X295" s="10"/>
    </row>
    <row r="296" spans="1:24" ht="27" customHeight="1">
      <c r="A296" s="90"/>
      <c r="B296" s="56"/>
      <c r="C296" s="36"/>
      <c r="D296" s="36"/>
      <c r="E296" s="72"/>
      <c r="F296" s="53"/>
      <c r="G296" s="105"/>
      <c r="H296" s="105"/>
      <c r="I296" s="105"/>
      <c r="J296" s="105"/>
      <c r="K296" s="110" t="str">
        <f t="shared" si="18"/>
        <v/>
      </c>
      <c r="L296" s="113"/>
      <c r="M296" s="110" t="str">
        <f t="shared" si="19"/>
        <v/>
      </c>
      <c r="N296" s="36"/>
      <c r="O296" s="36"/>
      <c r="P296" s="36"/>
      <c r="Q296" s="75"/>
      <c r="R296" s="75"/>
      <c r="S296" s="75"/>
      <c r="T296" s="75"/>
      <c r="U296" s="36"/>
      <c r="V296" s="69"/>
      <c r="W296" s="69"/>
      <c r="X296" s="38"/>
    </row>
    <row r="297" spans="1:24" ht="27" customHeight="1">
      <c r="A297" s="89"/>
      <c r="B297" s="57"/>
      <c r="C297" s="8"/>
      <c r="D297" s="8"/>
      <c r="E297" s="73"/>
      <c r="F297" s="14"/>
      <c r="G297" s="106"/>
      <c r="H297" s="106"/>
      <c r="I297" s="106"/>
      <c r="J297" s="106"/>
      <c r="K297" s="110" t="str">
        <f t="shared" ref="K297:K299" si="20">IF(A297="","",G297+I297+J297)</f>
        <v/>
      </c>
      <c r="L297" s="114"/>
      <c r="M297" s="110" t="str">
        <f t="shared" ref="M297:M299" si="21">IF(A297="","",IFERROR(K297/L297,""))</f>
        <v/>
      </c>
      <c r="N297" s="8"/>
      <c r="O297" s="8"/>
      <c r="P297" s="8"/>
      <c r="Q297" s="76"/>
      <c r="R297" s="76"/>
      <c r="S297" s="76"/>
      <c r="T297" s="76"/>
      <c r="U297" s="8"/>
      <c r="V297" s="70"/>
      <c r="W297" s="70"/>
      <c r="X297" s="10"/>
    </row>
    <row r="298" spans="1:24" ht="27" customHeight="1">
      <c r="A298" s="90"/>
      <c r="B298" s="56"/>
      <c r="C298" s="36"/>
      <c r="D298" s="36"/>
      <c r="E298" s="72"/>
      <c r="F298" s="53"/>
      <c r="G298" s="105"/>
      <c r="H298" s="105"/>
      <c r="I298" s="105"/>
      <c r="J298" s="105"/>
      <c r="K298" s="110" t="str">
        <f t="shared" si="20"/>
        <v/>
      </c>
      <c r="L298" s="113"/>
      <c r="M298" s="110" t="str">
        <f t="shared" si="21"/>
        <v/>
      </c>
      <c r="N298" s="36"/>
      <c r="O298" s="36"/>
      <c r="P298" s="36"/>
      <c r="Q298" s="75"/>
      <c r="R298" s="75"/>
      <c r="S298" s="75"/>
      <c r="T298" s="75"/>
      <c r="U298" s="36"/>
      <c r="V298" s="69"/>
      <c r="W298" s="69"/>
      <c r="X298" s="38"/>
    </row>
    <row r="299" spans="1:24" ht="27" customHeight="1">
      <c r="A299" s="91"/>
      <c r="B299" s="93"/>
      <c r="C299" s="11"/>
      <c r="D299" s="11"/>
      <c r="E299" s="99"/>
      <c r="F299" s="27"/>
      <c r="G299" s="108"/>
      <c r="H299" s="108"/>
      <c r="I299" s="108"/>
      <c r="J299" s="108"/>
      <c r="K299" s="111" t="str">
        <f t="shared" si="20"/>
        <v/>
      </c>
      <c r="L299" s="116"/>
      <c r="M299" s="111" t="str">
        <f t="shared" si="21"/>
        <v/>
      </c>
      <c r="N299" s="11"/>
      <c r="O299" s="11"/>
      <c r="P299" s="11"/>
      <c r="Q299" s="118"/>
      <c r="R299" s="118"/>
      <c r="S299" s="118"/>
      <c r="T299" s="118"/>
      <c r="U299" s="11"/>
      <c r="V299" s="94"/>
      <c r="W299" s="94"/>
      <c r="X299" s="13"/>
    </row>
  </sheetData>
  <mergeCells count="1">
    <mergeCell ref="A1:X1"/>
  </mergeCells>
  <phoneticPr fontId="20" type="noConversion"/>
  <conditionalFormatting sqref="T3:T299">
    <cfRule type="expression" dxfId="10" priority="1">
      <formula>T3="是"</formula>
    </cfRule>
    <cfRule type="expression" dxfId="9" priority="2">
      <formula>T3="否"</formula>
    </cfRule>
  </conditionalFormatting>
  <conditionalFormatting sqref="U3:U299">
    <cfRule type="expression" dxfId="8" priority="4">
      <formula>AND($T3="否",U3="")</formula>
    </cfRule>
  </conditionalFormatting>
  <conditionalFormatting sqref="V3:V299">
    <cfRule type="expression" dxfId="7" priority="3">
      <formula>AND($T3="是",V3="")</formula>
    </cfRule>
  </conditionalFormatting>
  <dataValidations count="3">
    <dataValidation type="list" sqref="C3:C63 C80:C299" xr:uid="{00000000-0002-0000-0300-000000000000}">
      <formula1>"闲鱼,淘宝,微店,Mercari,其他"</formula1>
    </dataValidation>
    <dataValidation type="list" sqref="H3:H127 H129:H299 Q3:S63 Q80:Q129 Q130:S299 S80:S129 T3:T299" xr:uid="{00000000-0002-0000-0300-000001000000}">
      <formula1>"是,否"</formula1>
    </dataValidation>
    <dataValidation type="list" sqref="P3:P24 P26:P299" xr:uid="{00000000-0002-0000-0300-000002000000}">
      <formula1>"全新未拆,拆封良好,轻微瑕疵,明显瑕疵,信息不明"</formula1>
    </dataValidation>
  </dataValidations>
  <hyperlinks>
    <hyperlink ref="E3" r:id="rId1" xr:uid="{00000000-0004-0000-0300-000000000000}"/>
    <hyperlink ref="E4" r:id="rId2" xr:uid="{00000000-0004-0000-0300-000001000000}"/>
    <hyperlink ref="E5" r:id="rId3" xr:uid="{00000000-0004-0000-0300-000002000000}"/>
    <hyperlink ref="E6" r:id="rId4" xr:uid="{00000000-0004-0000-0300-000003000000}"/>
    <hyperlink ref="E7" r:id="rId5" xr:uid="{00000000-0004-0000-0300-000004000000}"/>
    <hyperlink ref="E8" r:id="rId6" xr:uid="{00000000-0004-0000-0300-000005000000}"/>
    <hyperlink ref="E9" r:id="rId7" xr:uid="{00000000-0004-0000-0300-000006000000}"/>
    <hyperlink ref="E10" r:id="rId8" xr:uid="{00000000-0004-0000-0300-000007000000}"/>
    <hyperlink ref="E11" r:id="rId9" xr:uid="{00000000-0004-0000-0300-000008000000}"/>
    <hyperlink ref="E12" r:id="rId10" xr:uid="{00000000-0004-0000-0300-000009000000}"/>
    <hyperlink ref="E13" r:id="rId11" xr:uid="{00000000-0004-0000-0300-00000A000000}"/>
    <hyperlink ref="E14" r:id="rId12" xr:uid="{00000000-0004-0000-0300-00000B000000}"/>
    <hyperlink ref="E15" r:id="rId13" xr:uid="{00000000-0004-0000-0300-00000C000000}"/>
    <hyperlink ref="E16" r:id="rId14" xr:uid="{00000000-0004-0000-0300-00000D000000}"/>
    <hyperlink ref="E17" r:id="rId15" xr:uid="{00000000-0004-0000-0300-00000E000000}"/>
    <hyperlink ref="E18" r:id="rId16" xr:uid="{00000000-0004-0000-0300-00000F000000}"/>
    <hyperlink ref="E19" r:id="rId17" xr:uid="{00000000-0004-0000-0300-000010000000}"/>
    <hyperlink ref="E20" r:id="rId18" xr:uid="{00000000-0004-0000-0300-000011000000}"/>
    <hyperlink ref="E21" r:id="rId19" xr:uid="{00000000-0004-0000-0300-000012000000}"/>
    <hyperlink ref="E22" r:id="rId20" xr:uid="{00000000-0004-0000-0300-000013000000}"/>
    <hyperlink ref="E23" r:id="rId21" xr:uid="{00000000-0004-0000-0300-000014000000}"/>
    <hyperlink ref="E24" r:id="rId22" xr:uid="{00000000-0004-0000-0300-000015000000}"/>
    <hyperlink ref="E25" r:id="rId23" xr:uid="{00000000-0004-0000-0300-000016000000}"/>
    <hyperlink ref="E26" r:id="rId24" xr:uid="{00000000-0004-0000-0300-000017000000}"/>
    <hyperlink ref="E27" r:id="rId25" xr:uid="{00000000-0004-0000-0300-000018000000}"/>
    <hyperlink ref="E28" r:id="rId26" xr:uid="{00000000-0004-0000-0300-000019000000}"/>
    <hyperlink ref="E29" r:id="rId27" xr:uid="{00000000-0004-0000-0300-00001A000000}"/>
    <hyperlink ref="E30" r:id="rId28" xr:uid="{00000000-0004-0000-0300-00001B000000}"/>
    <hyperlink ref="E31" r:id="rId29" xr:uid="{00000000-0004-0000-0300-00001C000000}"/>
    <hyperlink ref="E32" r:id="rId30" xr:uid="{00000000-0004-0000-0300-00001D000000}"/>
    <hyperlink ref="E33" r:id="rId31" xr:uid="{00000000-0004-0000-0300-00001E000000}"/>
    <hyperlink ref="E34" r:id="rId32" xr:uid="{00000000-0004-0000-0300-00001F000000}"/>
    <hyperlink ref="E35" r:id="rId33" xr:uid="{00000000-0004-0000-0300-000020000000}"/>
    <hyperlink ref="E36" r:id="rId34" xr:uid="{00000000-0004-0000-0300-000021000000}"/>
    <hyperlink ref="E37" r:id="rId35" xr:uid="{00000000-0004-0000-0300-000022000000}"/>
    <hyperlink ref="E38" r:id="rId36" xr:uid="{00000000-0004-0000-0300-000023000000}"/>
    <hyperlink ref="E39" r:id="rId37" xr:uid="{00000000-0004-0000-0300-000024000000}"/>
    <hyperlink ref="E40" r:id="rId38" xr:uid="{00000000-0004-0000-0300-000025000000}"/>
    <hyperlink ref="E41" r:id="rId39" xr:uid="{00000000-0004-0000-0300-000026000000}"/>
    <hyperlink ref="E42" r:id="rId40" xr:uid="{00000000-0004-0000-0300-000027000000}"/>
    <hyperlink ref="E43" r:id="rId41" xr:uid="{00000000-0004-0000-0300-000028000000}"/>
    <hyperlink ref="E44" r:id="rId42" xr:uid="{00000000-0004-0000-0300-000029000000}"/>
    <hyperlink ref="E45" r:id="rId43" xr:uid="{00000000-0004-0000-0300-00002A000000}"/>
    <hyperlink ref="E46" r:id="rId44" xr:uid="{00000000-0004-0000-0300-00002B000000}"/>
    <hyperlink ref="E47" r:id="rId45" xr:uid="{00000000-0004-0000-0300-00002C000000}"/>
    <hyperlink ref="E48" r:id="rId46" xr:uid="{00000000-0004-0000-0300-00002D000000}"/>
    <hyperlink ref="E49" r:id="rId47" xr:uid="{00000000-0004-0000-0300-00002E000000}"/>
    <hyperlink ref="E50" r:id="rId48" xr:uid="{00000000-0004-0000-0300-00002F000000}"/>
    <hyperlink ref="E51" r:id="rId49" xr:uid="{00000000-0004-0000-0300-000030000000}"/>
    <hyperlink ref="E52" r:id="rId50" xr:uid="{00000000-0004-0000-0300-000031000000}"/>
    <hyperlink ref="E53" r:id="rId51" xr:uid="{00000000-0004-0000-0300-000032000000}"/>
    <hyperlink ref="E54" r:id="rId52" xr:uid="{00000000-0004-0000-0300-000033000000}"/>
    <hyperlink ref="E55" r:id="rId53" xr:uid="{00000000-0004-0000-0300-000034000000}"/>
    <hyperlink ref="E56" r:id="rId54" xr:uid="{00000000-0004-0000-0300-000035000000}"/>
    <hyperlink ref="E57" r:id="rId55" xr:uid="{00000000-0004-0000-0300-000036000000}"/>
    <hyperlink ref="E58" r:id="rId56" xr:uid="{00000000-0004-0000-0300-000037000000}"/>
    <hyperlink ref="E59" r:id="rId57" xr:uid="{00000000-0004-0000-0300-000038000000}"/>
    <hyperlink ref="E60" r:id="rId58" xr:uid="{00000000-0004-0000-0300-000039000000}"/>
    <hyperlink ref="E61" r:id="rId59" xr:uid="{00000000-0004-0000-0300-00003A000000}"/>
    <hyperlink ref="E62" r:id="rId60" xr:uid="{00000000-0004-0000-0300-00003B000000}"/>
    <hyperlink ref="E63" r:id="rId61" xr:uid="{00000000-0004-0000-0300-00003C000000}"/>
    <hyperlink ref="E64" r:id="rId62" xr:uid="{00000000-0004-0000-0300-00003D000000}"/>
    <hyperlink ref="E65" r:id="rId63" xr:uid="{00000000-0004-0000-0300-00003E000000}"/>
    <hyperlink ref="E66" r:id="rId64" xr:uid="{00000000-0004-0000-0300-00003F000000}"/>
    <hyperlink ref="E67" r:id="rId65" xr:uid="{00000000-0004-0000-0300-000040000000}"/>
    <hyperlink ref="E68" r:id="rId66" xr:uid="{00000000-0004-0000-0300-000041000000}"/>
    <hyperlink ref="E69" r:id="rId67" xr:uid="{00000000-0004-0000-0300-000042000000}"/>
    <hyperlink ref="E70" r:id="rId68" xr:uid="{00000000-0004-0000-0300-000043000000}"/>
    <hyperlink ref="E71" r:id="rId69" xr:uid="{00000000-0004-0000-0300-000044000000}"/>
    <hyperlink ref="E72" r:id="rId70" xr:uid="{00000000-0004-0000-0300-000045000000}"/>
    <hyperlink ref="E73" r:id="rId71" xr:uid="{00000000-0004-0000-0300-000046000000}"/>
    <hyperlink ref="E74" r:id="rId72" xr:uid="{00000000-0004-0000-0300-000047000000}"/>
    <hyperlink ref="E75" r:id="rId73" xr:uid="{00000000-0004-0000-0300-000048000000}"/>
    <hyperlink ref="E76" r:id="rId74" xr:uid="{00000000-0004-0000-0300-000049000000}"/>
    <hyperlink ref="E77" r:id="rId75" xr:uid="{00000000-0004-0000-0300-00004A000000}"/>
    <hyperlink ref="E78" r:id="rId76" xr:uid="{00000000-0004-0000-0300-00004B000000}"/>
    <hyperlink ref="E79" r:id="rId77" xr:uid="{00000000-0004-0000-0300-00004C000000}"/>
    <hyperlink ref="E80" r:id="rId78" xr:uid="{00000000-0004-0000-0300-00004D000000}"/>
    <hyperlink ref="E81" r:id="rId79" xr:uid="{00000000-0004-0000-0300-00004E000000}"/>
    <hyperlink ref="E82" r:id="rId80" xr:uid="{00000000-0004-0000-0300-00004F000000}"/>
    <hyperlink ref="E83" r:id="rId81" xr:uid="{00000000-0004-0000-0300-000050000000}"/>
    <hyperlink ref="E84" r:id="rId82" xr:uid="{00000000-0004-0000-0300-000051000000}"/>
    <hyperlink ref="E85" r:id="rId83" xr:uid="{00000000-0004-0000-0300-000052000000}"/>
    <hyperlink ref="E86" r:id="rId84" xr:uid="{00000000-0004-0000-0300-000053000000}"/>
    <hyperlink ref="E87" r:id="rId85" xr:uid="{00000000-0004-0000-0300-000054000000}"/>
    <hyperlink ref="E88" r:id="rId86" xr:uid="{00000000-0004-0000-0300-000055000000}"/>
    <hyperlink ref="E89" r:id="rId87" xr:uid="{00000000-0004-0000-0300-000056000000}"/>
    <hyperlink ref="E90" r:id="rId88" xr:uid="{00000000-0004-0000-0300-000057000000}"/>
    <hyperlink ref="E91" r:id="rId89" xr:uid="{00000000-0004-0000-0300-000058000000}"/>
    <hyperlink ref="E92" r:id="rId90" xr:uid="{00000000-0004-0000-0300-000059000000}"/>
    <hyperlink ref="E93" r:id="rId91" xr:uid="{00000000-0004-0000-0300-00005A000000}"/>
    <hyperlink ref="E94" r:id="rId92" xr:uid="{00000000-0004-0000-0300-00005B000000}"/>
    <hyperlink ref="E95" r:id="rId93" xr:uid="{00000000-0004-0000-0300-00005C000000}"/>
    <hyperlink ref="E96" r:id="rId94" xr:uid="{00000000-0004-0000-0300-00005D000000}"/>
    <hyperlink ref="E97" r:id="rId95" xr:uid="{00000000-0004-0000-0300-00005E000000}"/>
    <hyperlink ref="E98" r:id="rId96" xr:uid="{00000000-0004-0000-0300-00005F000000}"/>
    <hyperlink ref="E99" r:id="rId97" xr:uid="{00000000-0004-0000-0300-000060000000}"/>
    <hyperlink ref="E100" r:id="rId98" xr:uid="{00000000-0004-0000-0300-000061000000}"/>
    <hyperlink ref="E101" r:id="rId99" xr:uid="{00000000-0004-0000-0300-000062000000}"/>
    <hyperlink ref="E102" r:id="rId100" xr:uid="{00000000-0004-0000-0300-000063000000}"/>
    <hyperlink ref="E103" r:id="rId101" xr:uid="{00000000-0004-0000-0300-000064000000}"/>
    <hyperlink ref="E104" r:id="rId102" xr:uid="{00000000-0004-0000-0300-000065000000}"/>
    <hyperlink ref="E105" r:id="rId103" xr:uid="{00000000-0004-0000-0300-000066000000}"/>
    <hyperlink ref="E106" r:id="rId104" xr:uid="{00000000-0004-0000-0300-000067000000}"/>
    <hyperlink ref="E107" r:id="rId105" xr:uid="{00000000-0004-0000-0300-000068000000}"/>
    <hyperlink ref="E108" r:id="rId106" xr:uid="{00000000-0004-0000-0300-000069000000}"/>
    <hyperlink ref="E109" r:id="rId107" xr:uid="{00000000-0004-0000-0300-00006A000000}"/>
    <hyperlink ref="E110" r:id="rId108" xr:uid="{00000000-0004-0000-0300-00006B000000}"/>
    <hyperlink ref="E111" r:id="rId109" xr:uid="{00000000-0004-0000-0300-00006C000000}"/>
    <hyperlink ref="E112" r:id="rId110" xr:uid="{00000000-0004-0000-0300-00006D000000}"/>
    <hyperlink ref="E113" r:id="rId111" xr:uid="{00000000-0004-0000-0300-00006E000000}"/>
    <hyperlink ref="E114" r:id="rId112" xr:uid="{00000000-0004-0000-0300-00006F000000}"/>
    <hyperlink ref="E115" r:id="rId113" xr:uid="{00000000-0004-0000-0300-000070000000}"/>
    <hyperlink ref="E116" r:id="rId114" xr:uid="{00000000-0004-0000-0300-000071000000}"/>
    <hyperlink ref="E117" r:id="rId115" xr:uid="{00000000-0004-0000-0300-000072000000}"/>
    <hyperlink ref="E118" r:id="rId116" xr:uid="{00000000-0004-0000-0300-000073000000}"/>
    <hyperlink ref="E119" r:id="rId117" xr:uid="{00000000-0004-0000-0300-000074000000}"/>
    <hyperlink ref="E120" r:id="rId118" xr:uid="{00000000-0004-0000-0300-000075000000}"/>
    <hyperlink ref="E121" r:id="rId119" xr:uid="{00000000-0004-0000-0300-000076000000}"/>
    <hyperlink ref="E122" r:id="rId120" xr:uid="{00000000-0004-0000-0300-000077000000}"/>
    <hyperlink ref="E123" r:id="rId121" xr:uid="{00000000-0004-0000-0300-000078000000}"/>
    <hyperlink ref="E124" r:id="rId122" xr:uid="{00000000-0004-0000-0300-000079000000}"/>
    <hyperlink ref="E125" r:id="rId123" xr:uid="{00000000-0004-0000-0300-00007A000000}"/>
    <hyperlink ref="E126" r:id="rId124" xr:uid="{00000000-0004-0000-0300-00007B000000}"/>
    <hyperlink ref="E131" r:id="rId125" xr:uid="{00000000-0004-0000-0300-00007C000000}"/>
    <hyperlink ref="E132" r:id="rId126" xr:uid="{00000000-0004-0000-0300-00007D000000}"/>
    <hyperlink ref="E133" r:id="rId127" xr:uid="{00000000-0004-0000-0300-00007E000000}"/>
    <hyperlink ref="E134" r:id="rId128" xr:uid="{00000000-0004-0000-0300-00007F000000}"/>
    <hyperlink ref="E135" r:id="rId129" xr:uid="{00000000-0004-0000-0300-000080000000}"/>
    <hyperlink ref="E136" r:id="rId130" xr:uid="{00000000-0004-0000-0300-00008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workbookViewId="0">
      <pane ySplit="2" topLeftCell="A3" activePane="bottomLeft" state="frozen"/>
      <selection pane="bottomLeft" sqref="A1:J1"/>
    </sheetView>
  </sheetViews>
  <sheetFormatPr defaultColWidth="8.85546875" defaultRowHeight="14.15"/>
  <cols>
    <col min="1" max="1" width="34" customWidth="1"/>
    <col min="2" max="2" width="24" customWidth="1"/>
    <col min="3" max="3" width="29" customWidth="1"/>
    <col min="4" max="5" width="27" customWidth="1"/>
    <col min="6" max="6" width="24" customWidth="1"/>
    <col min="7" max="7" width="30" customWidth="1"/>
    <col min="8" max="8" width="28" customWidth="1"/>
    <col min="9" max="9" width="30" customWidth="1"/>
    <col min="10" max="10" width="33" customWidth="1"/>
  </cols>
  <sheetData>
    <row r="1" spans="1:10" ht="37" customHeight="1">
      <c r="A1" s="152" t="s">
        <v>670</v>
      </c>
      <c r="B1" s="153"/>
      <c r="C1" s="153"/>
      <c r="D1" s="153"/>
      <c r="E1" s="153"/>
      <c r="F1" s="153"/>
      <c r="G1" s="153"/>
      <c r="H1" s="153"/>
      <c r="I1" s="153"/>
      <c r="J1" s="153"/>
    </row>
    <row r="2" spans="1:10" ht="64" customHeight="1">
      <c r="A2" s="17" t="s">
        <v>97</v>
      </c>
      <c r="B2" s="18" t="s">
        <v>671</v>
      </c>
      <c r="C2" s="18" t="s">
        <v>672</v>
      </c>
      <c r="D2" s="32" t="s">
        <v>673</v>
      </c>
      <c r="E2" s="18" t="s">
        <v>674</v>
      </c>
      <c r="F2" s="18" t="s">
        <v>675</v>
      </c>
      <c r="G2" s="18" t="s">
        <v>676</v>
      </c>
      <c r="H2" s="32" t="s">
        <v>677</v>
      </c>
      <c r="I2" s="18" t="s">
        <v>678</v>
      </c>
      <c r="J2" s="32" t="s">
        <v>679</v>
      </c>
    </row>
    <row r="3" spans="1:10" ht="48" customHeight="1">
      <c r="A3" s="130" t="s">
        <v>7</v>
      </c>
      <c r="B3" s="131" t="s">
        <v>12</v>
      </c>
      <c r="C3" s="132" t="s">
        <v>17</v>
      </c>
      <c r="D3" s="133" t="s">
        <v>22</v>
      </c>
      <c r="E3" s="131" t="s">
        <v>12</v>
      </c>
      <c r="F3" s="131" t="s">
        <v>12</v>
      </c>
      <c r="G3" s="132" t="s">
        <v>17</v>
      </c>
      <c r="H3" s="133" t="s">
        <v>22</v>
      </c>
      <c r="I3" s="132" t="s">
        <v>17</v>
      </c>
      <c r="J3" s="133" t="s">
        <v>22</v>
      </c>
    </row>
    <row r="4" spans="1:10" ht="36" customHeight="1">
      <c r="A4" s="125" t="s">
        <v>109</v>
      </c>
      <c r="B4" s="24">
        <v>60</v>
      </c>
      <c r="C4" s="28"/>
      <c r="D4" s="100">
        <f t="shared" ref="D4:D15" si="0">IF(A4="","",B4*IF(C4="",1,C4))</f>
        <v>60</v>
      </c>
      <c r="E4" s="29">
        <v>6.0000000000000001E-3</v>
      </c>
      <c r="F4" s="24">
        <v>6</v>
      </c>
      <c r="G4" s="24">
        <v>4</v>
      </c>
      <c r="H4" s="100">
        <f>IF(A4="","",MAX((D4-F4)*(1-E4)-G4,0))</f>
        <v>49.676000000000002</v>
      </c>
      <c r="I4" s="28">
        <v>0.6</v>
      </c>
      <c r="J4" s="129">
        <f t="shared" ref="J4:J15" si="1">IF(A4="","",H4*IF(I4="",1,I4))</f>
        <v>29.805599999999998</v>
      </c>
    </row>
    <row r="5" spans="1:10" ht="36" customHeight="1">
      <c r="A5" s="126" t="s">
        <v>116</v>
      </c>
      <c r="B5" s="54">
        <v>58</v>
      </c>
      <c r="C5" s="120"/>
      <c r="D5" s="101">
        <f t="shared" si="0"/>
        <v>58</v>
      </c>
      <c r="E5" s="121">
        <v>6.0000000000000001E-3</v>
      </c>
      <c r="F5" s="86">
        <v>6</v>
      </c>
      <c r="G5" s="86">
        <v>4</v>
      </c>
      <c r="H5" s="101">
        <f t="shared" ref="H5:H15" si="2">IF(A5="","",MAX(D5*(1-E5)-F5-G5,0))</f>
        <v>47.652000000000001</v>
      </c>
      <c r="I5" s="122">
        <v>0.6</v>
      </c>
      <c r="J5" s="129">
        <f t="shared" si="1"/>
        <v>28.591200000000001</v>
      </c>
    </row>
    <row r="6" spans="1:10" ht="36" customHeight="1">
      <c r="A6" s="127" t="s">
        <v>119</v>
      </c>
      <c r="B6" s="16">
        <v>60</v>
      </c>
      <c r="C6" s="30"/>
      <c r="D6" s="101">
        <f t="shared" si="0"/>
        <v>60</v>
      </c>
      <c r="E6" s="29">
        <v>6.0000000000000001E-3</v>
      </c>
      <c r="F6" s="24">
        <v>6</v>
      </c>
      <c r="G6" s="24">
        <v>4</v>
      </c>
      <c r="H6" s="101">
        <f t="shared" si="2"/>
        <v>49.64</v>
      </c>
      <c r="I6" s="28">
        <v>0.6</v>
      </c>
      <c r="J6" s="129">
        <f t="shared" si="1"/>
        <v>29.783999999999999</v>
      </c>
    </row>
    <row r="7" spans="1:10" ht="36" customHeight="1">
      <c r="A7" s="126" t="s">
        <v>122</v>
      </c>
      <c r="B7" s="54">
        <v>58.5</v>
      </c>
      <c r="C7" s="120"/>
      <c r="D7" s="101">
        <f t="shared" si="0"/>
        <v>58.5</v>
      </c>
      <c r="E7" s="121">
        <v>6.0000000000000001E-3</v>
      </c>
      <c r="F7" s="86">
        <v>6</v>
      </c>
      <c r="G7" s="86">
        <v>4</v>
      </c>
      <c r="H7" s="101">
        <f t="shared" si="2"/>
        <v>48.149000000000001</v>
      </c>
      <c r="I7" s="122">
        <v>0.6</v>
      </c>
      <c r="J7" s="129">
        <f t="shared" si="1"/>
        <v>28.889399999999998</v>
      </c>
    </row>
    <row r="8" spans="1:10" ht="36" customHeight="1">
      <c r="A8" s="127" t="s">
        <v>125</v>
      </c>
      <c r="B8" s="16">
        <v>37.75</v>
      </c>
      <c r="C8" s="30"/>
      <c r="D8" s="101">
        <f t="shared" si="0"/>
        <v>37.75</v>
      </c>
      <c r="E8" s="29">
        <v>6.0000000000000001E-3</v>
      </c>
      <c r="F8" s="24">
        <v>6</v>
      </c>
      <c r="G8" s="24">
        <v>4</v>
      </c>
      <c r="H8" s="101">
        <f t="shared" si="2"/>
        <v>27.523499999999999</v>
      </c>
      <c r="I8" s="28">
        <v>0.6</v>
      </c>
      <c r="J8" s="129">
        <f t="shared" si="1"/>
        <v>16.514099999999999</v>
      </c>
    </row>
    <row r="9" spans="1:10" ht="36" customHeight="1">
      <c r="A9" s="126" t="s">
        <v>127</v>
      </c>
      <c r="B9" s="54">
        <v>32</v>
      </c>
      <c r="C9" s="120"/>
      <c r="D9" s="101">
        <f t="shared" si="0"/>
        <v>32</v>
      </c>
      <c r="E9" s="121">
        <v>6.0000000000000001E-3</v>
      </c>
      <c r="F9" s="86">
        <v>6</v>
      </c>
      <c r="G9" s="86">
        <v>4</v>
      </c>
      <c r="H9" s="101">
        <f t="shared" si="2"/>
        <v>21.808</v>
      </c>
      <c r="I9" s="122">
        <v>0.6</v>
      </c>
      <c r="J9" s="129">
        <f t="shared" si="1"/>
        <v>13.0848</v>
      </c>
    </row>
    <row r="10" spans="1:10" ht="36" customHeight="1">
      <c r="A10" s="127" t="s">
        <v>129</v>
      </c>
      <c r="B10" s="16">
        <v>20.329999999999998</v>
      </c>
      <c r="C10" s="30"/>
      <c r="D10" s="101">
        <f t="shared" si="0"/>
        <v>20.329999999999998</v>
      </c>
      <c r="E10" s="29">
        <v>6.0000000000000001E-3</v>
      </c>
      <c r="F10" s="24">
        <v>6</v>
      </c>
      <c r="G10" s="24">
        <v>4</v>
      </c>
      <c r="H10" s="101">
        <f t="shared" si="2"/>
        <v>10.208019999999998</v>
      </c>
      <c r="I10" s="28">
        <v>0.6</v>
      </c>
      <c r="J10" s="129">
        <f t="shared" si="1"/>
        <v>6.1248119999999986</v>
      </c>
    </row>
    <row r="11" spans="1:10" ht="36" customHeight="1">
      <c r="A11" s="126" t="s">
        <v>131</v>
      </c>
      <c r="B11" s="54">
        <v>40</v>
      </c>
      <c r="C11" s="120"/>
      <c r="D11" s="101">
        <f t="shared" si="0"/>
        <v>40</v>
      </c>
      <c r="E11" s="121">
        <v>6.0000000000000001E-3</v>
      </c>
      <c r="F11" s="86">
        <v>6</v>
      </c>
      <c r="G11" s="86">
        <v>4</v>
      </c>
      <c r="H11" s="101">
        <f t="shared" si="2"/>
        <v>29.759999999999998</v>
      </c>
      <c r="I11" s="122">
        <v>0.6</v>
      </c>
      <c r="J11" s="129">
        <f t="shared" si="1"/>
        <v>17.855999999999998</v>
      </c>
    </row>
    <row r="12" spans="1:10" ht="36" customHeight="1">
      <c r="A12" s="127"/>
      <c r="B12" s="16"/>
      <c r="C12" s="30"/>
      <c r="D12" s="101" t="str">
        <f t="shared" si="0"/>
        <v/>
      </c>
      <c r="E12" s="30"/>
      <c r="F12" s="16"/>
      <c r="G12" s="16"/>
      <c r="H12" s="101" t="str">
        <f t="shared" si="2"/>
        <v/>
      </c>
      <c r="I12" s="30"/>
      <c r="J12" s="101" t="str">
        <f t="shared" si="1"/>
        <v/>
      </c>
    </row>
    <row r="13" spans="1:10" ht="36" customHeight="1">
      <c r="A13" s="126"/>
      <c r="B13" s="54"/>
      <c r="C13" s="120"/>
      <c r="D13" s="101" t="str">
        <f t="shared" si="0"/>
        <v/>
      </c>
      <c r="E13" s="120"/>
      <c r="F13" s="54"/>
      <c r="G13" s="54"/>
      <c r="H13" s="101" t="str">
        <f t="shared" si="2"/>
        <v/>
      </c>
      <c r="I13" s="120"/>
      <c r="J13" s="101" t="str">
        <f t="shared" si="1"/>
        <v/>
      </c>
    </row>
    <row r="14" spans="1:10" ht="36" customHeight="1">
      <c r="A14" s="127"/>
      <c r="B14" s="16"/>
      <c r="C14" s="30"/>
      <c r="D14" s="101" t="str">
        <f t="shared" si="0"/>
        <v/>
      </c>
      <c r="E14" s="30"/>
      <c r="F14" s="16"/>
      <c r="G14" s="16"/>
      <c r="H14" s="101" t="str">
        <f t="shared" si="2"/>
        <v/>
      </c>
      <c r="I14" s="30"/>
      <c r="J14" s="101" t="str">
        <f t="shared" si="1"/>
        <v/>
      </c>
    </row>
    <row r="15" spans="1:10" ht="36" customHeight="1">
      <c r="A15" s="128"/>
      <c r="B15" s="123"/>
      <c r="C15" s="124"/>
      <c r="D15" s="102" t="str">
        <f t="shared" si="0"/>
        <v/>
      </c>
      <c r="E15" s="124"/>
      <c r="F15" s="123"/>
      <c r="G15" s="123"/>
      <c r="H15" s="102" t="str">
        <f t="shared" si="2"/>
        <v/>
      </c>
      <c r="I15" s="124"/>
      <c r="J15" s="102" t="str">
        <f t="shared" si="1"/>
        <v/>
      </c>
    </row>
  </sheetData>
  <mergeCells count="1">
    <mergeCell ref="A1:J1"/>
  </mergeCells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workbookViewId="0">
      <pane ySplit="2" topLeftCell="A3" activePane="bottomLeft" state="frozen"/>
      <selection pane="bottomLeft" sqref="A1:C1"/>
    </sheetView>
  </sheetViews>
  <sheetFormatPr defaultColWidth="8.85546875" defaultRowHeight="14.15"/>
  <cols>
    <col min="1" max="1" width="25" customWidth="1"/>
    <col min="2" max="2" width="53" customWidth="1"/>
    <col min="3" max="3" width="86" customWidth="1"/>
  </cols>
  <sheetData>
    <row r="1" spans="1:3" ht="37" customHeight="1">
      <c r="A1" s="152" t="s">
        <v>680</v>
      </c>
      <c r="B1" s="153"/>
      <c r="C1" s="153"/>
    </row>
    <row r="2" spans="1:3" ht="43" customHeight="1">
      <c r="A2" s="17" t="s">
        <v>1</v>
      </c>
      <c r="B2" s="18" t="s">
        <v>681</v>
      </c>
      <c r="C2" s="18" t="s">
        <v>50</v>
      </c>
    </row>
    <row r="3" spans="1:3" ht="37" customHeight="1">
      <c r="A3" s="34" t="s">
        <v>7</v>
      </c>
      <c r="B3" s="55" t="s">
        <v>682</v>
      </c>
      <c r="C3" s="24" t="s">
        <v>683</v>
      </c>
    </row>
    <row r="4" spans="1:3" ht="37" customHeight="1">
      <c r="A4" s="39" t="s">
        <v>12</v>
      </c>
      <c r="B4" s="56" t="s">
        <v>684</v>
      </c>
      <c r="C4" s="54" t="s">
        <v>685</v>
      </c>
    </row>
    <row r="5" spans="1:3" ht="37" customHeight="1">
      <c r="A5" s="40" t="s">
        <v>17</v>
      </c>
      <c r="B5" s="57" t="s">
        <v>686</v>
      </c>
      <c r="C5" s="8" t="s">
        <v>687</v>
      </c>
    </row>
    <row r="6" spans="1:3" ht="37" customHeight="1">
      <c r="A6" s="59" t="s">
        <v>7</v>
      </c>
      <c r="B6" s="56" t="s">
        <v>688</v>
      </c>
      <c r="C6" s="54" t="s">
        <v>689</v>
      </c>
    </row>
    <row r="7" spans="1:3" ht="37" customHeight="1">
      <c r="A7" s="40" t="s">
        <v>17</v>
      </c>
      <c r="B7" s="57" t="s">
        <v>690</v>
      </c>
      <c r="C7" s="30" t="s">
        <v>691</v>
      </c>
    </row>
    <row r="8" spans="1:3" ht="37" customHeight="1">
      <c r="A8" s="59" t="s">
        <v>7</v>
      </c>
      <c r="B8" s="56" t="s">
        <v>692</v>
      </c>
      <c r="C8" s="36" t="s">
        <v>73</v>
      </c>
    </row>
    <row r="9" spans="1:3" ht="37" customHeight="1">
      <c r="A9" s="39" t="s">
        <v>12</v>
      </c>
      <c r="B9" s="57" t="s">
        <v>693</v>
      </c>
      <c r="C9" s="16"/>
    </row>
    <row r="10" spans="1:3" ht="37" customHeight="1">
      <c r="A10" s="40" t="s">
        <v>17</v>
      </c>
      <c r="B10" s="56" t="s">
        <v>694</v>
      </c>
      <c r="C10" s="120">
        <v>0</v>
      </c>
    </row>
    <row r="11" spans="1:3" ht="44.05" customHeight="1">
      <c r="A11" s="39" t="s">
        <v>12</v>
      </c>
      <c r="B11" s="57" t="s">
        <v>695</v>
      </c>
      <c r="C11" s="8" t="s">
        <v>696</v>
      </c>
    </row>
    <row r="12" spans="1:3" ht="37" customHeight="1">
      <c r="A12" s="39" t="s">
        <v>12</v>
      </c>
      <c r="B12" s="56" t="s">
        <v>697</v>
      </c>
      <c r="C12" s="36" t="s">
        <v>698</v>
      </c>
    </row>
    <row r="13" spans="1:3" ht="37" customHeight="1">
      <c r="A13" s="40" t="s">
        <v>17</v>
      </c>
      <c r="B13" s="57" t="s">
        <v>676</v>
      </c>
      <c r="C13" s="16"/>
    </row>
    <row r="14" spans="1:3" ht="37" customHeight="1">
      <c r="A14" s="59" t="s">
        <v>7</v>
      </c>
      <c r="B14" s="56" t="s">
        <v>699</v>
      </c>
      <c r="C14" s="36" t="s">
        <v>700</v>
      </c>
    </row>
    <row r="15" spans="1:3" ht="37" customHeight="1">
      <c r="A15" s="40" t="s">
        <v>17</v>
      </c>
      <c r="B15" s="57" t="s">
        <v>701</v>
      </c>
      <c r="C15" s="8" t="s">
        <v>702</v>
      </c>
    </row>
    <row r="16" spans="1:3" ht="37" customHeight="1">
      <c r="A16" s="40" t="s">
        <v>17</v>
      </c>
      <c r="B16" s="56" t="s">
        <v>703</v>
      </c>
      <c r="C16" s="36" t="s">
        <v>704</v>
      </c>
    </row>
    <row r="17" spans="1:3" ht="37" customHeight="1">
      <c r="A17" s="59" t="s">
        <v>7</v>
      </c>
      <c r="B17" s="57" t="s">
        <v>705</v>
      </c>
      <c r="C17" s="8" t="s">
        <v>706</v>
      </c>
    </row>
    <row r="18" spans="1:3" ht="37" customHeight="1">
      <c r="A18" s="134" t="s">
        <v>7</v>
      </c>
      <c r="B18" s="58" t="s">
        <v>707</v>
      </c>
      <c r="C18" s="42"/>
    </row>
  </sheetData>
  <mergeCells count="1">
    <mergeCell ref="A1:C1"/>
  </mergeCells>
  <phoneticPr fontId="20" type="noConversion"/>
  <dataValidations count="2">
    <dataValidation type="list" sqref="C8" xr:uid="{00000000-0002-0000-0500-000000000000}">
      <formula1>"是,否"</formula1>
    </dataValidation>
    <dataValidation type="list" sqref="C11" xr:uid="{00000000-0002-0000-0500-000001000000}">
      <formula1>"买方,卖方,双方分担,不确定"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"/>
  <sheetViews>
    <sheetView workbookViewId="0">
      <pane ySplit="2" topLeftCell="A3" activePane="bottomLeft" state="frozen"/>
      <selection pane="bottomLeft" sqref="A1:C1"/>
    </sheetView>
  </sheetViews>
  <sheetFormatPr defaultColWidth="8.85546875" defaultRowHeight="14.15"/>
  <cols>
    <col min="1" max="1" width="28" customWidth="1"/>
    <col min="2" max="2" width="88" customWidth="1"/>
    <col min="3" max="3" width="22" customWidth="1"/>
  </cols>
  <sheetData>
    <row r="1" spans="1:3" ht="37" customHeight="1">
      <c r="A1" s="152" t="s">
        <v>708</v>
      </c>
      <c r="B1" s="153"/>
      <c r="C1" s="153"/>
    </row>
    <row r="2" spans="1:3" ht="43" customHeight="1">
      <c r="A2" s="17" t="s">
        <v>709</v>
      </c>
      <c r="B2" s="18" t="s">
        <v>710</v>
      </c>
      <c r="C2" s="18" t="s">
        <v>711</v>
      </c>
    </row>
    <row r="3" spans="1:3" ht="31" customHeight="1">
      <c r="A3" s="63" t="s">
        <v>712</v>
      </c>
      <c r="B3" s="4" t="s">
        <v>713</v>
      </c>
      <c r="C3" s="47" t="s">
        <v>714</v>
      </c>
    </row>
    <row r="4" spans="1:3" ht="31" customHeight="1">
      <c r="A4" s="64" t="s">
        <v>712</v>
      </c>
      <c r="B4" s="36" t="s">
        <v>715</v>
      </c>
      <c r="C4" s="48" t="s">
        <v>714</v>
      </c>
    </row>
    <row r="5" spans="1:3" ht="31" customHeight="1">
      <c r="A5" s="64" t="s">
        <v>712</v>
      </c>
      <c r="B5" s="8" t="s">
        <v>716</v>
      </c>
      <c r="C5" s="48" t="s">
        <v>714</v>
      </c>
    </row>
    <row r="6" spans="1:3" ht="31" customHeight="1">
      <c r="A6" s="64" t="s">
        <v>717</v>
      </c>
      <c r="B6" s="36" t="s">
        <v>718</v>
      </c>
      <c r="C6" s="48" t="s">
        <v>714</v>
      </c>
    </row>
    <row r="7" spans="1:3" ht="31" customHeight="1">
      <c r="A7" s="64" t="s">
        <v>717</v>
      </c>
      <c r="B7" s="8" t="s">
        <v>719</v>
      </c>
      <c r="C7" s="48" t="s">
        <v>714</v>
      </c>
    </row>
    <row r="8" spans="1:3" ht="31" customHeight="1">
      <c r="A8" s="64" t="s">
        <v>720</v>
      </c>
      <c r="B8" s="36" t="s">
        <v>721</v>
      </c>
      <c r="C8" s="48" t="s">
        <v>714</v>
      </c>
    </row>
    <row r="9" spans="1:3" ht="31" customHeight="1">
      <c r="A9" s="64" t="s">
        <v>722</v>
      </c>
      <c r="B9" s="8" t="s">
        <v>723</v>
      </c>
      <c r="C9" s="48" t="s">
        <v>714</v>
      </c>
    </row>
    <row r="10" spans="1:3" ht="31" customHeight="1">
      <c r="A10" s="64" t="s">
        <v>722</v>
      </c>
      <c r="B10" s="36" t="s">
        <v>724</v>
      </c>
      <c r="C10" s="48" t="s">
        <v>714</v>
      </c>
    </row>
    <row r="11" spans="1:3" ht="31" customHeight="1">
      <c r="A11" s="64" t="s">
        <v>722</v>
      </c>
      <c r="B11" s="8" t="s">
        <v>725</v>
      </c>
      <c r="C11" s="48" t="s">
        <v>714</v>
      </c>
    </row>
    <row r="12" spans="1:3" ht="31" customHeight="1">
      <c r="A12" s="64" t="s">
        <v>726</v>
      </c>
      <c r="B12" s="36" t="s">
        <v>727</v>
      </c>
      <c r="C12" s="48" t="s">
        <v>714</v>
      </c>
    </row>
    <row r="13" spans="1:3" ht="31" customHeight="1">
      <c r="A13" s="64" t="s">
        <v>726</v>
      </c>
      <c r="B13" s="8" t="s">
        <v>728</v>
      </c>
      <c r="C13" s="48" t="s">
        <v>714</v>
      </c>
    </row>
    <row r="14" spans="1:3" ht="31" customHeight="1">
      <c r="A14" s="64" t="s">
        <v>726</v>
      </c>
      <c r="B14" s="36" t="s">
        <v>729</v>
      </c>
      <c r="C14" s="48" t="s">
        <v>714</v>
      </c>
    </row>
    <row r="15" spans="1:3" ht="31" customHeight="1">
      <c r="A15" s="64" t="s">
        <v>730</v>
      </c>
      <c r="B15" s="8" t="s">
        <v>731</v>
      </c>
      <c r="C15" s="48" t="s">
        <v>714</v>
      </c>
    </row>
    <row r="16" spans="1:3" ht="31" customHeight="1">
      <c r="A16" s="64" t="s">
        <v>730</v>
      </c>
      <c r="B16" s="36" t="s">
        <v>732</v>
      </c>
      <c r="C16" s="48" t="s">
        <v>714</v>
      </c>
    </row>
    <row r="17" spans="1:3" ht="31" customHeight="1">
      <c r="A17" s="64" t="s">
        <v>733</v>
      </c>
      <c r="B17" s="8" t="s">
        <v>734</v>
      </c>
      <c r="C17" s="48" t="s">
        <v>714</v>
      </c>
    </row>
    <row r="18" spans="1:3" ht="31" customHeight="1">
      <c r="A18" s="64" t="s">
        <v>733</v>
      </c>
      <c r="B18" s="36" t="s">
        <v>735</v>
      </c>
      <c r="C18" s="48" t="s">
        <v>714</v>
      </c>
    </row>
    <row r="19" spans="1:3" ht="31" customHeight="1">
      <c r="A19" s="64" t="s">
        <v>733</v>
      </c>
      <c r="B19" s="8" t="s">
        <v>736</v>
      </c>
      <c r="C19" s="48" t="s">
        <v>714</v>
      </c>
    </row>
    <row r="20" spans="1:3" ht="31" customHeight="1">
      <c r="A20" s="64" t="s">
        <v>733</v>
      </c>
      <c r="B20" s="36" t="s">
        <v>737</v>
      </c>
      <c r="C20" s="48" t="s">
        <v>714</v>
      </c>
    </row>
    <row r="21" spans="1:3" ht="31" customHeight="1">
      <c r="A21" s="64" t="s">
        <v>733</v>
      </c>
      <c r="B21" s="8" t="s">
        <v>738</v>
      </c>
      <c r="C21" s="48" t="s">
        <v>714</v>
      </c>
    </row>
    <row r="22" spans="1:3" ht="31" customHeight="1">
      <c r="A22" s="64" t="s">
        <v>739</v>
      </c>
      <c r="B22" s="36" t="s">
        <v>740</v>
      </c>
      <c r="C22" s="48" t="s">
        <v>714</v>
      </c>
    </row>
    <row r="23" spans="1:3" ht="31" customHeight="1">
      <c r="A23" s="64" t="s">
        <v>739</v>
      </c>
      <c r="B23" s="8" t="s">
        <v>741</v>
      </c>
      <c r="C23" s="48" t="s">
        <v>714</v>
      </c>
    </row>
    <row r="24" spans="1:3" ht="31" customHeight="1">
      <c r="A24" s="64" t="s">
        <v>739</v>
      </c>
      <c r="B24" s="36" t="s">
        <v>742</v>
      </c>
      <c r="C24" s="48" t="s">
        <v>714</v>
      </c>
    </row>
    <row r="25" spans="1:3" ht="31" customHeight="1">
      <c r="A25" s="64" t="s">
        <v>743</v>
      </c>
      <c r="B25" s="8" t="s">
        <v>744</v>
      </c>
      <c r="C25" s="48" t="s">
        <v>714</v>
      </c>
    </row>
    <row r="26" spans="1:3" ht="31" customHeight="1">
      <c r="A26" s="64" t="s">
        <v>745</v>
      </c>
      <c r="B26" s="36" t="s">
        <v>746</v>
      </c>
      <c r="C26" s="48" t="s">
        <v>714</v>
      </c>
    </row>
    <row r="27" spans="1:3" ht="31" customHeight="1">
      <c r="A27" s="64" t="s">
        <v>747</v>
      </c>
      <c r="B27" s="8" t="s">
        <v>748</v>
      </c>
      <c r="C27" s="48" t="s">
        <v>714</v>
      </c>
    </row>
    <row r="28" spans="1:3" ht="31" customHeight="1">
      <c r="A28" s="64" t="s">
        <v>749</v>
      </c>
      <c r="B28" s="36" t="s">
        <v>750</v>
      </c>
      <c r="C28" s="48" t="s">
        <v>714</v>
      </c>
    </row>
    <row r="29" spans="1:3" ht="31" customHeight="1">
      <c r="A29" s="64" t="s">
        <v>749</v>
      </c>
      <c r="B29" s="8" t="s">
        <v>751</v>
      </c>
      <c r="C29" s="48" t="s">
        <v>714</v>
      </c>
    </row>
    <row r="30" spans="1:3" ht="31" customHeight="1">
      <c r="A30" s="77" t="s">
        <v>752</v>
      </c>
      <c r="B30" s="42" t="s">
        <v>753</v>
      </c>
      <c r="C30" s="49" t="s">
        <v>714</v>
      </c>
    </row>
  </sheetData>
  <mergeCells count="1">
    <mergeCell ref="A1:C1"/>
  </mergeCells>
  <phoneticPr fontId="20" type="noConversion"/>
  <conditionalFormatting sqref="C3:C30">
    <cfRule type="expression" dxfId="6" priority="1">
      <formula>C3="通过"</formula>
    </cfRule>
    <cfRule type="expression" dxfId="5" priority="2">
      <formula>C3="不通过"</formula>
    </cfRule>
    <cfRule type="expression" dxfId="4" priority="3">
      <formula>C3="未检查"</formula>
    </cfRule>
  </conditionalFormatting>
  <dataValidations count="1">
    <dataValidation type="list" sqref="C3:C30" xr:uid="{00000000-0002-0000-0600-000000000000}">
      <formula1>"未检查,通过,不通过,不适用"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workbookViewId="0">
      <pane ySplit="2" topLeftCell="A3" activePane="bottomLeft" state="frozen"/>
      <selection pane="bottomLeft" sqref="A1:F1"/>
    </sheetView>
  </sheetViews>
  <sheetFormatPr defaultColWidth="8.85546875" defaultRowHeight="14.15"/>
  <cols>
    <col min="1" max="1" width="19" customWidth="1"/>
    <col min="2" max="2" width="32" customWidth="1"/>
    <col min="3" max="3" width="27" customWidth="1"/>
    <col min="4" max="4" width="28" customWidth="1"/>
    <col min="5" max="5" width="37" customWidth="1"/>
    <col min="6" max="6" width="30" customWidth="1"/>
  </cols>
  <sheetData>
    <row r="1" spans="1:6" ht="37" customHeight="1">
      <c r="A1" s="152" t="s">
        <v>754</v>
      </c>
      <c r="B1" s="153"/>
      <c r="C1" s="153"/>
      <c r="D1" s="153"/>
      <c r="E1" s="153"/>
      <c r="F1" s="153"/>
    </row>
    <row r="2" spans="1:6" ht="43" customHeight="1">
      <c r="A2" s="17" t="s">
        <v>96</v>
      </c>
      <c r="B2" s="18" t="s">
        <v>97</v>
      </c>
      <c r="C2" s="18" t="s">
        <v>755</v>
      </c>
      <c r="D2" s="18" t="s">
        <v>756</v>
      </c>
      <c r="E2" s="18" t="s">
        <v>757</v>
      </c>
      <c r="F2" s="18" t="s">
        <v>758</v>
      </c>
    </row>
    <row r="3" spans="1:6" ht="37" customHeight="1">
      <c r="A3" s="135">
        <f>IF('02_Character_Probabilities'!B3="","",'02_Character_Probabilities'!A3)</f>
        <v>1</v>
      </c>
      <c r="B3" s="55" t="str">
        <f>IF('02_Character_Probabilities'!B3="","",'02_Character_Probabilities'!B3)</f>
        <v>Light Yagami, front view</v>
      </c>
      <c r="C3" s="74">
        <f>IF(B3="","",COUNTIF('03_Secondary_Market_Raw_Data'!B$3:B$299,B3))</f>
        <v>18</v>
      </c>
      <c r="D3" s="139">
        <f>IF(B3="","",COUNTIFS('03_Secondary_Market_Raw_Data'!B$3:B$299,B3,'03_Secondary_Market_Raw_Data'!T$3:T$299,"Yes"))</f>
        <v>16</v>
      </c>
      <c r="E3" s="74">
        <f>IF(B3="","",COUNTIFS('03_Secondary_Market_Raw_Data'!B$3:B$299,B3,'03_Secondary_Market_Raw_Data'!T$3:T$299,"Yes",'03_Secondary_Market_Raw_Data'!V$3:V$299,""))</f>
        <v>0</v>
      </c>
      <c r="F3" s="4" t="str">
        <f t="shared" ref="F3:F14" si="0">IF(B3="","Not started",IF(D3&gt;=15,"Satisfactory",IF(D3&gt;=8,"Basically usable",IF(D3&gt;=5,"Weak",IF(D3&gt;0,"Insufficient","Not started")))))</f>
        <v>Satisfactory</v>
      </c>
    </row>
    <row r="4" spans="1:6" ht="37" customHeight="1">
      <c r="A4" s="136">
        <f>IF('02_Character_Probabilities'!B4="","",'02_Character_Probabilities'!A4)</f>
        <v>2</v>
      </c>
      <c r="B4" s="56" t="str">
        <f>IF('02_Character_Probabilities'!B4="","",'02_Character_Probabilities'!B4)</f>
        <v>Light Yagami, profile</v>
      </c>
      <c r="C4" s="75">
        <f>IF(B4="","",COUNTIF('03_Secondary_Market_Raw_Data'!B$3:B$299,B4))</f>
        <v>17</v>
      </c>
      <c r="D4" s="140">
        <f>IF(B4="","",COUNTIFS('03_Secondary_Market_Raw_Data'!B$3:B$299,B4,'03_Secondary_Market_Raw_Data'!T$3:T$299,"Yes"))</f>
        <v>17</v>
      </c>
      <c r="E4" s="75">
        <f>IF(B4="","",COUNTIFS('03_Secondary_Market_Raw_Data'!B$3:B$299,B4,'03_Secondary_Market_Raw_Data'!T$3:T$299,"Yes",'03_Secondary_Market_Raw_Data'!V$3:V$299,""))</f>
        <v>0</v>
      </c>
      <c r="F4" s="36" t="str">
        <f t="shared" si="0"/>
        <v>Satisfactory</v>
      </c>
    </row>
    <row r="5" spans="1:6" ht="37" customHeight="1">
      <c r="A5" s="137">
        <f>IF('02_Character_Probabilities'!B5="","",'02_Character_Probabilities'!A5)</f>
        <v>3</v>
      </c>
      <c r="B5" s="57" t="str">
        <f>IF('02_Character_Probabilities'!B5="","",'02_Character_Probabilities'!B5)</f>
        <v>L, light-gray portrait</v>
      </c>
      <c r="C5" s="76">
        <f>IF(B5="","",COUNTIF('03_Secondary_Market_Raw_Data'!B$3:B$299,B5))</f>
        <v>20</v>
      </c>
      <c r="D5" s="140">
        <f>IF(B5="","",COUNTIFS('03_Secondary_Market_Raw_Data'!B$3:B$299,B5,'03_Secondary_Market_Raw_Data'!T$3:T$299,"Yes"))</f>
        <v>20</v>
      </c>
      <c r="E5" s="76">
        <f>IF(B5="","",COUNTIFS('03_Secondary_Market_Raw_Data'!B$3:B$299,B5,'03_Secondary_Market_Raw_Data'!T$3:T$299,"Yes",'03_Secondary_Market_Raw_Data'!V$3:V$299,""))</f>
        <v>0</v>
      </c>
      <c r="F5" s="8" t="str">
        <f t="shared" si="0"/>
        <v>Satisfactory</v>
      </c>
    </row>
    <row r="6" spans="1:6" ht="37" customHeight="1">
      <c r="A6" s="136">
        <f>IF('02_Character_Probabilities'!B6="","",'02_Character_Probabilities'!A6)</f>
        <v>4</v>
      </c>
      <c r="B6" s="56" t="str">
        <f>IF('02_Character_Probabilities'!B6="","",'02_Character_Probabilities'!B6)</f>
        <v>L, dark-gray profile</v>
      </c>
      <c r="C6" s="75">
        <f>IF(B6="","",COUNTIF('03_Secondary_Market_Raw_Data'!B$3:B$299,B6))</f>
        <v>14</v>
      </c>
      <c r="D6" s="140">
        <f>IF(B6="","",COUNTIFS('03_Secondary_Market_Raw_Data'!B$3:B$299,B6,'03_Secondary_Market_Raw_Data'!T$3:T$299,"Yes"))</f>
        <v>14</v>
      </c>
      <c r="E6" s="75">
        <f>IF(B6="","",COUNTIFS('03_Secondary_Market_Raw_Data'!B$3:B$299,B6,'03_Secondary_Market_Raw_Data'!T$3:T$299,"Yes",'03_Secondary_Market_Raw_Data'!V$3:V$299,""))</f>
        <v>0</v>
      </c>
      <c r="F6" s="36" t="str">
        <f t="shared" si="0"/>
        <v>Basically usable</v>
      </c>
    </row>
    <row r="7" spans="1:6" ht="37" customHeight="1">
      <c r="A7" s="137">
        <f>IF('02_Character_Probabilities'!B7="","",'02_Character_Probabilities'!A7)</f>
        <v>5</v>
      </c>
      <c r="B7" s="57" t="str">
        <f>IF('02_Character_Probabilities'!B7="","",'02_Character_Probabilities'!B7)</f>
        <v>Misa Amane, smiling</v>
      </c>
      <c r="C7" s="76">
        <f>IF(B7="","",COUNTIF('03_Secondary_Market_Raw_Data'!B$3:B$299,B7))</f>
        <v>16</v>
      </c>
      <c r="D7" s="140">
        <f>IF(B7="","",COUNTIFS('03_Secondary_Market_Raw_Data'!B$3:B$299,B7,'03_Secondary_Market_Raw_Data'!T$3:T$299,"Yes"))</f>
        <v>14</v>
      </c>
      <c r="E7" s="76">
        <f>IF(B7="","",COUNTIFS('03_Secondary_Market_Raw_Data'!B$3:B$299,B7,'03_Secondary_Market_Raw_Data'!T$3:T$299,"Yes",'03_Secondary_Market_Raw_Data'!V$3:V$299,""))</f>
        <v>0</v>
      </c>
      <c r="F7" s="8" t="str">
        <f t="shared" si="0"/>
        <v>Basically usable</v>
      </c>
    </row>
    <row r="8" spans="1:6" ht="37" customHeight="1">
      <c r="A8" s="136">
        <f>IF('02_Character_Probabilities'!B8="","",'02_Character_Probabilities'!A8)</f>
        <v>6</v>
      </c>
      <c r="B8" s="56" t="str">
        <f>IF('02_Character_Probabilities'!B8="","",'02_Character_Probabilities'!B8)</f>
        <v>Misa Amane, choker</v>
      </c>
      <c r="C8" s="75">
        <f>IF(B8="","",COUNTIF('03_Secondary_Market_Raw_Data'!B$3:B$299,B8))</f>
        <v>15</v>
      </c>
      <c r="D8" s="140">
        <f>IF(B8="","",COUNTIFS('03_Secondary_Market_Raw_Data'!B$3:B$299,B8,'03_Secondary_Market_Raw_Data'!T$3:T$299,"Yes"))</f>
        <v>15</v>
      </c>
      <c r="E8" s="75">
        <f>IF(B8="","",COUNTIFS('03_Secondary_Market_Raw_Data'!B$3:B$299,B8,'03_Secondary_Market_Raw_Data'!T$3:T$299,"Yes",'03_Secondary_Market_Raw_Data'!V$3:V$299,""))</f>
        <v>0</v>
      </c>
      <c r="F8" s="36" t="str">
        <f t="shared" si="0"/>
        <v>Satisfactory</v>
      </c>
    </row>
    <row r="9" spans="1:6" ht="37" customHeight="1">
      <c r="A9" s="137">
        <f>IF('02_Character_Probabilities'!B9="","",'02_Character_Probabilities'!A9)</f>
        <v>7</v>
      </c>
      <c r="B9" s="57" t="str">
        <f>IF('02_Character_Probabilities'!B9="","",'02_Character_Probabilities'!B9)</f>
        <v>Near</v>
      </c>
      <c r="C9" s="76">
        <f>IF(B9="","",COUNTIF('03_Secondary_Market_Raw_Data'!B$3:B$299,B9))</f>
        <v>18</v>
      </c>
      <c r="D9" s="140">
        <f>IF(B9="","",COUNTIFS('03_Secondary_Market_Raw_Data'!B$3:B$299,B9,'03_Secondary_Market_Raw_Data'!T$3:T$299,"Yes"))</f>
        <v>17</v>
      </c>
      <c r="E9" s="76">
        <f>IF(B9="","",COUNTIFS('03_Secondary_Market_Raw_Data'!B$3:B$299,B9,'03_Secondary_Market_Raw_Data'!T$3:T$299,"Yes",'03_Secondary_Market_Raw_Data'!V$3:V$299,""))</f>
        <v>0</v>
      </c>
      <c r="F9" s="8" t="str">
        <f t="shared" si="0"/>
        <v>Satisfactory</v>
      </c>
    </row>
    <row r="10" spans="1:6" ht="37" customHeight="1">
      <c r="A10" s="136">
        <f>IF('02_Character_Probabilities'!B10="","",'02_Character_Probabilities'!A10)</f>
        <v>8</v>
      </c>
      <c r="B10" s="56" t="str">
        <f>IF('02_Character_Probabilities'!B10="","",'02_Character_Probabilities'!B10)</f>
        <v>Mello</v>
      </c>
      <c r="C10" s="75">
        <f>IF(B10="","",COUNTIF('03_Secondary_Market_Raw_Data'!B$3:B$299,B10))</f>
        <v>16</v>
      </c>
      <c r="D10" s="140">
        <f>IF(B10="","",COUNTIFS('03_Secondary_Market_Raw_Data'!B$3:B$299,B10,'03_Secondary_Market_Raw_Data'!T$3:T$299,"Yes"))</f>
        <v>14</v>
      </c>
      <c r="E10" s="75">
        <f>IF(B10="","",COUNTIFS('03_Secondary_Market_Raw_Data'!B$3:B$299,B10,'03_Secondary_Market_Raw_Data'!T$3:T$299,"Yes",'03_Secondary_Market_Raw_Data'!V$3:V$299,""))</f>
        <v>0</v>
      </c>
      <c r="F10" s="36" t="str">
        <f t="shared" si="0"/>
        <v>Basically usable</v>
      </c>
    </row>
    <row r="11" spans="1:6" ht="37" customHeight="1">
      <c r="A11" s="137" t="e">
        <f>IF('02_Character_Probabilities'!#REF!="","",'02_Character_Probabilities'!#REF!)</f>
        <v>#REF!</v>
      </c>
      <c r="B11" s="57" t="e">
        <f>IF('02_Character_Probabilities'!#REF!="","",'02_Character_Probabilities'!#REF!)</f>
        <v>#REF!</v>
      </c>
      <c r="C11" s="76" t="e">
        <f>IF(B11="","",COUNTIF('03_Secondary_Market_Raw_Data'!B$3:B$299,B11))</f>
        <v>#REF!</v>
      </c>
      <c r="D11" s="140" t="e">
        <f>IF(B11="","",COUNTIFS('03_Secondary_Market_Raw_Data'!B$3:B$299,B11,'03_Secondary_Market_Raw_Data'!T$3:T$299,"Yes"))</f>
        <v>#REF!</v>
      </c>
      <c r="E11" s="76" t="e">
        <f>IF(B11="","",COUNTIFS('03_Secondary_Market_Raw_Data'!B$3:B$299,B11,'03_Secondary_Market_Raw_Data'!T$3:T$299,"Yes",'03_Secondary_Market_Raw_Data'!V$3:V$299,""))</f>
        <v>#REF!</v>
      </c>
      <c r="F11" s="8" t="e">
        <f t="shared" si="0"/>
        <v>#REF!</v>
      </c>
    </row>
    <row r="12" spans="1:6" ht="37" customHeight="1">
      <c r="A12" s="136" t="e">
        <f>IF('02_Character_Probabilities'!#REF!="","",'02_Character_Probabilities'!#REF!)</f>
        <v>#REF!</v>
      </c>
      <c r="B12" s="56" t="e">
        <f>IF('02_Character_Probabilities'!#REF!="","",'02_Character_Probabilities'!#REF!)</f>
        <v>#REF!</v>
      </c>
      <c r="C12" s="75" t="e">
        <f>IF(B12="","",COUNTIF('03_Secondary_Market_Raw_Data'!B$3:B$299,B12))</f>
        <v>#REF!</v>
      </c>
      <c r="D12" s="140" t="e">
        <f>IF(B12="","",COUNTIFS('03_Secondary_Market_Raw_Data'!B$3:B$299,B12,'03_Secondary_Market_Raw_Data'!T$3:T$299,"Yes"))</f>
        <v>#REF!</v>
      </c>
      <c r="E12" s="75" t="e">
        <f>IF(B12="","",COUNTIFS('03_Secondary_Market_Raw_Data'!B$3:B$299,B12,'03_Secondary_Market_Raw_Data'!T$3:T$299,"Yes",'03_Secondary_Market_Raw_Data'!V$3:V$299,""))</f>
        <v>#REF!</v>
      </c>
      <c r="F12" s="36" t="e">
        <f t="shared" si="0"/>
        <v>#REF!</v>
      </c>
    </row>
    <row r="13" spans="1:6" ht="37" customHeight="1">
      <c r="A13" s="137" t="e">
        <f>IF('02_Character_Probabilities'!#REF!="","",'02_Character_Probabilities'!#REF!)</f>
        <v>#REF!</v>
      </c>
      <c r="B13" s="57" t="e">
        <f>IF('02_Character_Probabilities'!#REF!="","",'02_Character_Probabilities'!#REF!)</f>
        <v>#REF!</v>
      </c>
      <c r="C13" s="76" t="e">
        <f>IF(B13="","",COUNTIF('03_Secondary_Market_Raw_Data'!B$3:B$299,B13))</f>
        <v>#REF!</v>
      </c>
      <c r="D13" s="140" t="e">
        <f>IF(B13="","",COUNTIFS('03_Secondary_Market_Raw_Data'!B$3:B$299,B13,'03_Secondary_Market_Raw_Data'!T$3:T$299,"Yes"))</f>
        <v>#REF!</v>
      </c>
      <c r="E13" s="76" t="e">
        <f>IF(B13="","",COUNTIFS('03_Secondary_Market_Raw_Data'!B$3:B$299,B13,'03_Secondary_Market_Raw_Data'!T$3:T$299,"Yes",'03_Secondary_Market_Raw_Data'!V$3:V$299,""))</f>
        <v>#REF!</v>
      </c>
      <c r="F13" s="8" t="e">
        <f t="shared" si="0"/>
        <v>#REF!</v>
      </c>
    </row>
    <row r="14" spans="1:6" ht="37" customHeight="1">
      <c r="A14" s="138" t="e">
        <f>IF('02_Character_Probabilities'!#REF!="","",'02_Character_Probabilities'!#REF!)</f>
        <v>#REF!</v>
      </c>
      <c r="B14" s="58" t="e">
        <f>IF('02_Character_Probabilities'!#REF!="","",'02_Character_Probabilities'!#REF!)</f>
        <v>#REF!</v>
      </c>
      <c r="C14" s="142" t="e">
        <f>IF(B14="","",COUNTIF('03_Secondary_Market_Raw_Data'!B$3:B$299,B14))</f>
        <v>#REF!</v>
      </c>
      <c r="D14" s="141" t="e">
        <f>IF(B14="","",COUNTIFS('03_Secondary_Market_Raw_Data'!B$3:B$299,B14,'03_Secondary_Market_Raw_Data'!T$3:T$299,"Yes"))</f>
        <v>#REF!</v>
      </c>
      <c r="E14" s="142" t="e">
        <f>IF(B14="","",COUNTIFS('03_Secondary_Market_Raw_Data'!B$3:B$299,B14,'03_Secondary_Market_Raw_Data'!T$3:T$299,"Yes",'03_Secondary_Market_Raw_Data'!V$3:V$299,""))</f>
        <v>#REF!</v>
      </c>
      <c r="F14" s="42" t="e">
        <f t="shared" si="0"/>
        <v>#REF!</v>
      </c>
    </row>
  </sheetData>
  <mergeCells count="1">
    <mergeCell ref="A1:F1"/>
  </mergeCells>
  <phoneticPr fontId="20" type="noConversion"/>
  <conditionalFormatting sqref="F3:F14">
    <cfRule type="expression" dxfId="3" priority="1">
      <formula>F3="较理想"</formula>
    </cfRule>
    <cfRule type="expression" dxfId="2" priority="2">
      <formula>F3="基本可用"</formula>
    </cfRule>
    <cfRule type="expression" dxfId="1" priority="3">
      <formula>F3="较弱"</formula>
    </cfRule>
    <cfRule type="expression" dxfId="0" priority="4">
      <formula>OR(F3="不足",F3="未开始")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7"/>
  <sheetViews>
    <sheetView tabSelected="1" zoomScale="70" zoomScaleNormal="7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defaultColWidth="8.85546875" defaultRowHeight="14.15"/>
  <cols>
    <col min="1" max="1" width="40" customWidth="1"/>
    <col min="2" max="2" width="37" customWidth="1"/>
    <col min="3" max="3" width="26" customWidth="1"/>
    <col min="4" max="4" width="72" customWidth="1"/>
    <col min="5" max="5" width="33" customWidth="1"/>
    <col min="6" max="6" width="58" customWidth="1"/>
  </cols>
  <sheetData>
    <row r="1" spans="1:6" ht="37" customHeight="1">
      <c r="A1" s="154" t="s">
        <v>759</v>
      </c>
      <c r="B1" s="155"/>
      <c r="C1" s="155"/>
      <c r="D1" s="155"/>
      <c r="E1" s="155"/>
      <c r="F1" s="155"/>
    </row>
    <row r="2" spans="1:6" ht="43" customHeight="1">
      <c r="A2" s="17" t="s">
        <v>760</v>
      </c>
      <c r="B2" s="18" t="s">
        <v>49</v>
      </c>
      <c r="C2" s="18" t="s">
        <v>1</v>
      </c>
      <c r="D2" s="18" t="s">
        <v>761</v>
      </c>
      <c r="E2" s="18" t="s">
        <v>762</v>
      </c>
      <c r="F2" s="18" t="s">
        <v>763</v>
      </c>
    </row>
    <row r="3" spans="1:6" ht="34" customHeight="1">
      <c r="A3" s="143" t="s">
        <v>10</v>
      </c>
      <c r="B3" s="55" t="s">
        <v>51</v>
      </c>
      <c r="C3" s="147" t="s">
        <v>7</v>
      </c>
      <c r="D3" s="4" t="s">
        <v>764</v>
      </c>
      <c r="E3" s="4" t="s">
        <v>765</v>
      </c>
      <c r="F3" s="4" t="s">
        <v>766</v>
      </c>
    </row>
    <row r="4" spans="1:6" ht="34" customHeight="1">
      <c r="A4" s="144" t="s">
        <v>10</v>
      </c>
      <c r="B4" s="56" t="s">
        <v>53</v>
      </c>
      <c r="C4" s="148" t="s">
        <v>7</v>
      </c>
      <c r="D4" s="36" t="s">
        <v>767</v>
      </c>
      <c r="E4" s="36" t="s">
        <v>765</v>
      </c>
      <c r="F4" s="36" t="s">
        <v>766</v>
      </c>
    </row>
    <row r="5" spans="1:6" ht="34" customHeight="1">
      <c r="A5" s="145" t="s">
        <v>10</v>
      </c>
      <c r="B5" s="57" t="s">
        <v>55</v>
      </c>
      <c r="C5" s="148" t="s">
        <v>7</v>
      </c>
      <c r="D5" s="8" t="s">
        <v>768</v>
      </c>
      <c r="E5" s="8" t="s">
        <v>765</v>
      </c>
      <c r="F5" s="8" t="s">
        <v>766</v>
      </c>
    </row>
    <row r="6" spans="1:6" ht="34" customHeight="1">
      <c r="A6" s="144" t="s">
        <v>10</v>
      </c>
      <c r="B6" s="56" t="s">
        <v>57</v>
      </c>
      <c r="C6" s="148" t="s">
        <v>7</v>
      </c>
      <c r="D6" s="36" t="s">
        <v>769</v>
      </c>
      <c r="E6" s="36" t="s">
        <v>765</v>
      </c>
      <c r="F6" s="36" t="s">
        <v>766</v>
      </c>
    </row>
    <row r="7" spans="1:6" ht="34" customHeight="1">
      <c r="A7" s="145" t="s">
        <v>10</v>
      </c>
      <c r="B7" s="57" t="s">
        <v>59</v>
      </c>
      <c r="C7" s="148" t="s">
        <v>7</v>
      </c>
      <c r="D7" s="8" t="s">
        <v>770</v>
      </c>
      <c r="E7" s="8" t="s">
        <v>765</v>
      </c>
      <c r="F7" s="8" t="s">
        <v>766</v>
      </c>
    </row>
    <row r="8" spans="1:6" ht="34" customHeight="1">
      <c r="A8" s="144" t="s">
        <v>10</v>
      </c>
      <c r="B8" s="56" t="s">
        <v>61</v>
      </c>
      <c r="C8" s="149" t="s">
        <v>17</v>
      </c>
      <c r="D8" s="36" t="s">
        <v>771</v>
      </c>
      <c r="E8" s="36" t="s">
        <v>765</v>
      </c>
      <c r="F8" s="36" t="s">
        <v>766</v>
      </c>
    </row>
    <row r="9" spans="1:6" ht="34" customHeight="1">
      <c r="A9" s="145" t="s">
        <v>10</v>
      </c>
      <c r="B9" s="57" t="s">
        <v>63</v>
      </c>
      <c r="C9" s="148" t="s">
        <v>7</v>
      </c>
      <c r="D9" s="8" t="s">
        <v>772</v>
      </c>
      <c r="E9" s="8" t="s">
        <v>765</v>
      </c>
      <c r="F9" s="8" t="s">
        <v>766</v>
      </c>
    </row>
    <row r="10" spans="1:6" ht="34" customHeight="1">
      <c r="A10" s="144" t="s">
        <v>10</v>
      </c>
      <c r="B10" s="56" t="s">
        <v>64</v>
      </c>
      <c r="C10" s="148" t="s">
        <v>7</v>
      </c>
      <c r="D10" s="36" t="s">
        <v>773</v>
      </c>
      <c r="E10" s="36" t="s">
        <v>765</v>
      </c>
      <c r="F10" s="36" t="s">
        <v>766</v>
      </c>
    </row>
    <row r="11" spans="1:6" ht="34" customHeight="1">
      <c r="A11" s="145" t="s">
        <v>10</v>
      </c>
      <c r="B11" s="57" t="s">
        <v>66</v>
      </c>
      <c r="C11" s="148" t="s">
        <v>7</v>
      </c>
      <c r="D11" s="8" t="s">
        <v>774</v>
      </c>
      <c r="E11" s="8" t="s">
        <v>765</v>
      </c>
      <c r="F11" s="8" t="s">
        <v>766</v>
      </c>
    </row>
    <row r="12" spans="1:6" ht="34" customHeight="1">
      <c r="A12" s="144" t="s">
        <v>10</v>
      </c>
      <c r="B12" s="56" t="s">
        <v>68</v>
      </c>
      <c r="C12" s="148" t="s">
        <v>7</v>
      </c>
      <c r="D12" s="36" t="s">
        <v>775</v>
      </c>
      <c r="E12" s="36" t="s">
        <v>765</v>
      </c>
      <c r="F12" s="36" t="s">
        <v>766</v>
      </c>
    </row>
    <row r="13" spans="1:6" ht="34" customHeight="1">
      <c r="A13" s="145" t="s">
        <v>10</v>
      </c>
      <c r="B13" s="57" t="s">
        <v>70</v>
      </c>
      <c r="C13" s="149" t="s">
        <v>17</v>
      </c>
      <c r="D13" s="8" t="s">
        <v>776</v>
      </c>
      <c r="E13" s="8" t="s">
        <v>765</v>
      </c>
      <c r="F13" s="8" t="s">
        <v>766</v>
      </c>
    </row>
    <row r="14" spans="1:6" ht="34" customHeight="1">
      <c r="A14" s="144" t="s">
        <v>10</v>
      </c>
      <c r="B14" s="56" t="s">
        <v>71</v>
      </c>
      <c r="C14" s="148" t="s">
        <v>7</v>
      </c>
      <c r="D14" s="36" t="s">
        <v>777</v>
      </c>
      <c r="E14" s="36" t="s">
        <v>765</v>
      </c>
      <c r="F14" s="36" t="s">
        <v>766</v>
      </c>
    </row>
    <row r="15" spans="1:6" ht="34" customHeight="1">
      <c r="A15" s="145" t="s">
        <v>10</v>
      </c>
      <c r="B15" s="57" t="s">
        <v>72</v>
      </c>
      <c r="C15" s="148" t="s">
        <v>7</v>
      </c>
      <c r="D15" s="8" t="s">
        <v>778</v>
      </c>
      <c r="E15" s="8" t="s">
        <v>765</v>
      </c>
      <c r="F15" s="8" t="s">
        <v>766</v>
      </c>
    </row>
    <row r="16" spans="1:6" ht="34" customHeight="1">
      <c r="A16" s="144" t="s">
        <v>10</v>
      </c>
      <c r="B16" s="56" t="s">
        <v>74</v>
      </c>
      <c r="C16" s="148" t="s">
        <v>7</v>
      </c>
      <c r="D16" s="36" t="s">
        <v>779</v>
      </c>
      <c r="E16" s="36" t="s">
        <v>765</v>
      </c>
      <c r="F16" s="36" t="s">
        <v>766</v>
      </c>
    </row>
    <row r="17" spans="1:6" ht="34" customHeight="1">
      <c r="A17" s="145" t="s">
        <v>10</v>
      </c>
      <c r="B17" s="57" t="s">
        <v>76</v>
      </c>
      <c r="C17" s="148" t="s">
        <v>7</v>
      </c>
      <c r="D17" s="8" t="s">
        <v>780</v>
      </c>
      <c r="E17" s="8" t="s">
        <v>765</v>
      </c>
      <c r="F17" s="8" t="s">
        <v>766</v>
      </c>
    </row>
    <row r="18" spans="1:6" ht="34" customHeight="1">
      <c r="A18" s="144" t="s">
        <v>10</v>
      </c>
      <c r="B18" s="56" t="s">
        <v>78</v>
      </c>
      <c r="C18" s="148" t="s">
        <v>7</v>
      </c>
      <c r="D18" s="36" t="s">
        <v>781</v>
      </c>
      <c r="E18" s="36" t="s">
        <v>765</v>
      </c>
      <c r="F18" s="36" t="s">
        <v>766</v>
      </c>
    </row>
    <row r="19" spans="1:6" ht="34" customHeight="1">
      <c r="A19" s="145" t="s">
        <v>10</v>
      </c>
      <c r="B19" s="57" t="s">
        <v>80</v>
      </c>
      <c r="C19" s="150" t="s">
        <v>12</v>
      </c>
      <c r="D19" s="8" t="s">
        <v>782</v>
      </c>
      <c r="E19" s="8" t="s">
        <v>765</v>
      </c>
      <c r="F19" s="8" t="s">
        <v>766</v>
      </c>
    </row>
    <row r="20" spans="1:6" ht="34" customHeight="1">
      <c r="A20" s="144" t="s">
        <v>10</v>
      </c>
      <c r="B20" s="56" t="s">
        <v>82</v>
      </c>
      <c r="C20" s="148" t="s">
        <v>7</v>
      </c>
      <c r="D20" s="36" t="s">
        <v>783</v>
      </c>
      <c r="E20" s="36" t="s">
        <v>765</v>
      </c>
      <c r="F20" s="36" t="s">
        <v>766</v>
      </c>
    </row>
    <row r="21" spans="1:6" ht="34" customHeight="1">
      <c r="A21" s="145" t="s">
        <v>10</v>
      </c>
      <c r="B21" s="57" t="s">
        <v>83</v>
      </c>
      <c r="C21" s="150" t="s">
        <v>12</v>
      </c>
      <c r="D21" s="8" t="s">
        <v>784</v>
      </c>
      <c r="E21" s="8" t="s">
        <v>765</v>
      </c>
      <c r="F21" s="8" t="s">
        <v>766</v>
      </c>
    </row>
    <row r="22" spans="1:6" ht="34" customHeight="1">
      <c r="A22" s="144" t="s">
        <v>10</v>
      </c>
      <c r="B22" s="56" t="s">
        <v>85</v>
      </c>
      <c r="C22" s="148" t="s">
        <v>7</v>
      </c>
      <c r="D22" s="36" t="s">
        <v>785</v>
      </c>
      <c r="E22" s="36" t="s">
        <v>765</v>
      </c>
      <c r="F22" s="36" t="s">
        <v>766</v>
      </c>
    </row>
    <row r="23" spans="1:6" ht="34" customHeight="1">
      <c r="A23" s="145" t="s">
        <v>10</v>
      </c>
      <c r="B23" s="57" t="s">
        <v>87</v>
      </c>
      <c r="C23" s="148" t="s">
        <v>7</v>
      </c>
      <c r="D23" s="8" t="s">
        <v>771</v>
      </c>
      <c r="E23" s="8" t="s">
        <v>765</v>
      </c>
      <c r="F23" s="8" t="s">
        <v>766</v>
      </c>
    </row>
    <row r="24" spans="1:6" ht="34" customHeight="1">
      <c r="A24" s="144" t="s">
        <v>10</v>
      </c>
      <c r="B24" s="56" t="s">
        <v>89</v>
      </c>
      <c r="C24" s="148" t="s">
        <v>7</v>
      </c>
      <c r="D24" s="36" t="s">
        <v>786</v>
      </c>
      <c r="E24" s="36" t="s">
        <v>765</v>
      </c>
      <c r="F24" s="36" t="s">
        <v>766</v>
      </c>
    </row>
    <row r="25" spans="1:6" ht="34" customHeight="1">
      <c r="A25" s="145" t="s">
        <v>10</v>
      </c>
      <c r="B25" s="57" t="s">
        <v>91</v>
      </c>
      <c r="C25" s="149" t="s">
        <v>17</v>
      </c>
      <c r="D25" s="8" t="s">
        <v>787</v>
      </c>
      <c r="E25" s="8" t="s">
        <v>765</v>
      </c>
      <c r="F25" s="8" t="s">
        <v>766</v>
      </c>
    </row>
    <row r="26" spans="1:6" ht="34" customHeight="1">
      <c r="A26" s="144" t="s">
        <v>10</v>
      </c>
      <c r="B26" s="56" t="s">
        <v>93</v>
      </c>
      <c r="C26" s="149" t="s">
        <v>17</v>
      </c>
      <c r="D26" s="36" t="s">
        <v>788</v>
      </c>
      <c r="E26" s="36" t="s">
        <v>765</v>
      </c>
      <c r="F26" s="36" t="s">
        <v>766</v>
      </c>
    </row>
    <row r="27" spans="1:6" ht="34" customHeight="1">
      <c r="A27" s="145" t="s">
        <v>15</v>
      </c>
      <c r="B27" s="57" t="s">
        <v>96</v>
      </c>
      <c r="C27" s="140" t="s">
        <v>22</v>
      </c>
      <c r="D27" s="8" t="s">
        <v>789</v>
      </c>
      <c r="E27" s="8" t="s">
        <v>790</v>
      </c>
      <c r="F27" s="8" t="s">
        <v>791</v>
      </c>
    </row>
    <row r="28" spans="1:6" ht="34" customHeight="1">
      <c r="A28" s="144" t="s">
        <v>15</v>
      </c>
      <c r="B28" s="56" t="s">
        <v>97</v>
      </c>
      <c r="C28" s="148" t="s">
        <v>7</v>
      </c>
      <c r="D28" s="36" t="s">
        <v>792</v>
      </c>
      <c r="E28" s="36" t="s">
        <v>793</v>
      </c>
      <c r="F28" s="36" t="s">
        <v>794</v>
      </c>
    </row>
    <row r="29" spans="1:6" ht="34" customHeight="1">
      <c r="A29" s="145" t="s">
        <v>15</v>
      </c>
      <c r="B29" s="57" t="s">
        <v>98</v>
      </c>
      <c r="C29" s="148" t="s">
        <v>7</v>
      </c>
      <c r="D29" s="8" t="s">
        <v>795</v>
      </c>
      <c r="E29" s="8" t="s">
        <v>796</v>
      </c>
      <c r="F29" s="8" t="s">
        <v>797</v>
      </c>
    </row>
    <row r="30" spans="1:6" ht="34" customHeight="1">
      <c r="A30" s="144" t="s">
        <v>15</v>
      </c>
      <c r="B30" s="56" t="s">
        <v>99</v>
      </c>
      <c r="C30" s="148" t="s">
        <v>7</v>
      </c>
      <c r="D30" s="36" t="s">
        <v>798</v>
      </c>
      <c r="E30" s="36" t="s">
        <v>793</v>
      </c>
      <c r="F30" s="36" t="s">
        <v>799</v>
      </c>
    </row>
    <row r="31" spans="1:6" ht="34" customHeight="1">
      <c r="A31" s="145" t="s">
        <v>15</v>
      </c>
      <c r="B31" s="57" t="s">
        <v>100</v>
      </c>
      <c r="C31" s="150" t="s">
        <v>12</v>
      </c>
      <c r="D31" s="8" t="s">
        <v>800</v>
      </c>
      <c r="E31" s="8" t="s">
        <v>801</v>
      </c>
      <c r="F31" s="8" t="s">
        <v>802</v>
      </c>
    </row>
    <row r="32" spans="1:6" ht="34" customHeight="1">
      <c r="A32" s="144" t="s">
        <v>15</v>
      </c>
      <c r="B32" s="56" t="s">
        <v>101</v>
      </c>
      <c r="C32" s="148" t="s">
        <v>7</v>
      </c>
      <c r="D32" s="36" t="s">
        <v>803</v>
      </c>
      <c r="E32" s="36" t="s">
        <v>801</v>
      </c>
      <c r="F32" s="36" t="s">
        <v>804</v>
      </c>
    </row>
    <row r="33" spans="1:6" ht="34" customHeight="1">
      <c r="A33" s="145" t="s">
        <v>15</v>
      </c>
      <c r="B33" s="57" t="s">
        <v>102</v>
      </c>
      <c r="C33" s="148" t="s">
        <v>7</v>
      </c>
      <c r="D33" s="8" t="s">
        <v>805</v>
      </c>
      <c r="E33" s="8" t="s">
        <v>796</v>
      </c>
      <c r="F33" s="8" t="s">
        <v>806</v>
      </c>
    </row>
    <row r="34" spans="1:6" ht="34" customHeight="1">
      <c r="A34" s="144" t="s">
        <v>15</v>
      </c>
      <c r="B34" s="56" t="s">
        <v>103</v>
      </c>
      <c r="C34" s="150" t="s">
        <v>12</v>
      </c>
      <c r="D34" s="36" t="s">
        <v>807</v>
      </c>
      <c r="E34" s="36" t="s">
        <v>808</v>
      </c>
      <c r="F34" s="36" t="s">
        <v>809</v>
      </c>
    </row>
    <row r="35" spans="1:6" ht="34" customHeight="1">
      <c r="A35" s="145" t="s">
        <v>15</v>
      </c>
      <c r="B35" s="57" t="s">
        <v>104</v>
      </c>
      <c r="C35" s="149" t="s">
        <v>17</v>
      </c>
      <c r="D35" s="8" t="s">
        <v>810</v>
      </c>
      <c r="E35" s="8" t="s">
        <v>801</v>
      </c>
      <c r="F35" s="8" t="s">
        <v>811</v>
      </c>
    </row>
    <row r="36" spans="1:6" ht="34" customHeight="1">
      <c r="A36" s="144" t="s">
        <v>15</v>
      </c>
      <c r="B36" s="56" t="s">
        <v>105</v>
      </c>
      <c r="C36" s="149" t="s">
        <v>17</v>
      </c>
      <c r="D36" s="36" t="s">
        <v>812</v>
      </c>
      <c r="E36" s="36" t="s">
        <v>801</v>
      </c>
      <c r="F36" s="36" t="s">
        <v>811</v>
      </c>
    </row>
    <row r="37" spans="1:6" ht="34" customHeight="1">
      <c r="A37" s="145" t="s">
        <v>15</v>
      </c>
      <c r="B37" s="57" t="s">
        <v>106</v>
      </c>
      <c r="C37" s="149" t="s">
        <v>17</v>
      </c>
      <c r="D37" s="8" t="s">
        <v>813</v>
      </c>
      <c r="E37" s="8" t="s">
        <v>793</v>
      </c>
      <c r="F37" s="8" t="s">
        <v>814</v>
      </c>
    </row>
    <row r="38" spans="1:6" ht="34" customHeight="1">
      <c r="A38" s="144" t="s">
        <v>20</v>
      </c>
      <c r="B38" s="56" t="s">
        <v>134</v>
      </c>
      <c r="C38" s="148" t="s">
        <v>7</v>
      </c>
      <c r="D38" s="36" t="s">
        <v>815</v>
      </c>
      <c r="E38" s="36" t="s">
        <v>793</v>
      </c>
      <c r="F38" s="36" t="s">
        <v>816</v>
      </c>
    </row>
    <row r="39" spans="1:6" ht="34" customHeight="1">
      <c r="A39" s="145" t="s">
        <v>20</v>
      </c>
      <c r="B39" s="57" t="s">
        <v>97</v>
      </c>
      <c r="C39" s="148" t="s">
        <v>7</v>
      </c>
      <c r="D39" s="8" t="s">
        <v>817</v>
      </c>
      <c r="E39" s="8" t="s">
        <v>793</v>
      </c>
      <c r="F39" s="8" t="s">
        <v>818</v>
      </c>
    </row>
    <row r="40" spans="1:6" ht="34" customHeight="1">
      <c r="A40" s="144" t="s">
        <v>20</v>
      </c>
      <c r="B40" s="56" t="s">
        <v>135</v>
      </c>
      <c r="C40" s="148" t="s">
        <v>7</v>
      </c>
      <c r="D40" s="36" t="s">
        <v>819</v>
      </c>
      <c r="E40" s="36" t="s">
        <v>820</v>
      </c>
      <c r="F40" s="36" t="s">
        <v>821</v>
      </c>
    </row>
    <row r="41" spans="1:6" ht="34" customHeight="1">
      <c r="A41" s="145" t="s">
        <v>20</v>
      </c>
      <c r="B41" s="57" t="s">
        <v>136</v>
      </c>
      <c r="C41" s="148" t="s">
        <v>7</v>
      </c>
      <c r="D41" s="8" t="s">
        <v>822</v>
      </c>
      <c r="E41" s="8" t="s">
        <v>793</v>
      </c>
      <c r="F41" s="8" t="s">
        <v>823</v>
      </c>
    </row>
    <row r="42" spans="1:6" ht="34" customHeight="1">
      <c r="A42" s="144" t="s">
        <v>20</v>
      </c>
      <c r="B42" s="56" t="s">
        <v>137</v>
      </c>
      <c r="C42" s="148" t="s">
        <v>7</v>
      </c>
      <c r="D42" s="36" t="s">
        <v>824</v>
      </c>
      <c r="E42" s="36" t="s">
        <v>808</v>
      </c>
      <c r="F42" s="36" t="s">
        <v>825</v>
      </c>
    </row>
    <row r="43" spans="1:6" ht="34" customHeight="1">
      <c r="A43" s="145" t="s">
        <v>20</v>
      </c>
      <c r="B43" s="57" t="s">
        <v>138</v>
      </c>
      <c r="C43" s="148" t="s">
        <v>7</v>
      </c>
      <c r="D43" s="8" t="s">
        <v>826</v>
      </c>
      <c r="E43" s="8" t="s">
        <v>827</v>
      </c>
      <c r="F43" s="8" t="s">
        <v>828</v>
      </c>
    </row>
    <row r="44" spans="1:6" ht="34" customHeight="1">
      <c r="A44" s="144" t="s">
        <v>20</v>
      </c>
      <c r="B44" s="56" t="s">
        <v>139</v>
      </c>
      <c r="C44" s="148" t="s">
        <v>7</v>
      </c>
      <c r="D44" s="36" t="s">
        <v>829</v>
      </c>
      <c r="E44" s="36" t="s">
        <v>830</v>
      </c>
      <c r="F44" s="36" t="s">
        <v>831</v>
      </c>
    </row>
    <row r="45" spans="1:6" ht="34" customHeight="1">
      <c r="A45" s="145" t="s">
        <v>20</v>
      </c>
      <c r="B45" s="57" t="s">
        <v>140</v>
      </c>
      <c r="C45" s="148" t="s">
        <v>7</v>
      </c>
      <c r="D45" s="8" t="s">
        <v>832</v>
      </c>
      <c r="E45" s="8" t="s">
        <v>796</v>
      </c>
      <c r="F45" s="8" t="s">
        <v>797</v>
      </c>
    </row>
    <row r="46" spans="1:6" ht="34" customHeight="1">
      <c r="A46" s="144" t="s">
        <v>20</v>
      </c>
      <c r="B46" s="56" t="s">
        <v>141</v>
      </c>
      <c r="C46" s="148" t="s">
        <v>7</v>
      </c>
      <c r="D46" s="36" t="s">
        <v>833</v>
      </c>
      <c r="E46" s="36" t="s">
        <v>830</v>
      </c>
      <c r="F46" s="36" t="s">
        <v>834</v>
      </c>
    </row>
    <row r="47" spans="1:6" ht="34" customHeight="1">
      <c r="A47" s="145" t="s">
        <v>20</v>
      </c>
      <c r="B47" s="57" t="s">
        <v>142</v>
      </c>
      <c r="C47" s="149" t="s">
        <v>17</v>
      </c>
      <c r="D47" s="8" t="s">
        <v>835</v>
      </c>
      <c r="E47" s="8" t="s">
        <v>830</v>
      </c>
      <c r="F47" s="8" t="s">
        <v>776</v>
      </c>
    </row>
    <row r="48" spans="1:6" ht="34" customHeight="1">
      <c r="A48" s="144" t="s">
        <v>20</v>
      </c>
      <c r="B48" s="56" t="s">
        <v>143</v>
      </c>
      <c r="C48" s="140" t="s">
        <v>22</v>
      </c>
      <c r="D48" s="36" t="s">
        <v>836</v>
      </c>
      <c r="E48" s="36" t="s">
        <v>837</v>
      </c>
      <c r="F48" s="36" t="s">
        <v>838</v>
      </c>
    </row>
    <row r="49" spans="1:6" ht="34" customHeight="1">
      <c r="A49" s="145" t="s">
        <v>20</v>
      </c>
      <c r="B49" s="57" t="s">
        <v>144</v>
      </c>
      <c r="C49" s="148" t="s">
        <v>7</v>
      </c>
      <c r="D49" s="8" t="s">
        <v>839</v>
      </c>
      <c r="E49" s="8" t="s">
        <v>790</v>
      </c>
      <c r="F49" s="8" t="s">
        <v>840</v>
      </c>
    </row>
    <row r="50" spans="1:6" ht="34" customHeight="1">
      <c r="A50" s="144" t="s">
        <v>20</v>
      </c>
      <c r="B50" s="56" t="s">
        <v>145</v>
      </c>
      <c r="C50" s="140" t="s">
        <v>22</v>
      </c>
      <c r="D50" s="36" t="s">
        <v>841</v>
      </c>
      <c r="E50" s="36" t="s">
        <v>837</v>
      </c>
      <c r="F50" s="36" t="s">
        <v>838</v>
      </c>
    </row>
    <row r="51" spans="1:6" ht="34" customHeight="1">
      <c r="A51" s="145" t="s">
        <v>20</v>
      </c>
      <c r="B51" s="57" t="s">
        <v>146</v>
      </c>
      <c r="C51" s="148" t="s">
        <v>7</v>
      </c>
      <c r="D51" s="8" t="s">
        <v>842</v>
      </c>
      <c r="E51" s="8" t="s">
        <v>793</v>
      </c>
      <c r="F51" s="8" t="s">
        <v>843</v>
      </c>
    </row>
    <row r="52" spans="1:6" ht="34" customHeight="1">
      <c r="A52" s="144" t="s">
        <v>20</v>
      </c>
      <c r="B52" s="56" t="s">
        <v>147</v>
      </c>
      <c r="C52" s="148" t="s">
        <v>7</v>
      </c>
      <c r="D52" s="36" t="s">
        <v>844</v>
      </c>
      <c r="E52" s="36" t="s">
        <v>793</v>
      </c>
      <c r="F52" s="36" t="s">
        <v>843</v>
      </c>
    </row>
    <row r="53" spans="1:6" ht="34" customHeight="1">
      <c r="A53" s="145" t="s">
        <v>20</v>
      </c>
      <c r="B53" s="57" t="s">
        <v>148</v>
      </c>
      <c r="C53" s="148" t="s">
        <v>7</v>
      </c>
      <c r="D53" s="8" t="s">
        <v>845</v>
      </c>
      <c r="E53" s="8" t="s">
        <v>796</v>
      </c>
      <c r="F53" s="8" t="s">
        <v>846</v>
      </c>
    </row>
    <row r="54" spans="1:6" ht="34" customHeight="1">
      <c r="A54" s="144" t="s">
        <v>20</v>
      </c>
      <c r="B54" s="56" t="s">
        <v>149</v>
      </c>
      <c r="C54" s="148" t="s">
        <v>7</v>
      </c>
      <c r="D54" s="36" t="s">
        <v>847</v>
      </c>
      <c r="E54" s="36" t="s">
        <v>796</v>
      </c>
      <c r="F54" s="36" t="s">
        <v>797</v>
      </c>
    </row>
    <row r="55" spans="1:6" ht="34" customHeight="1">
      <c r="A55" s="145" t="s">
        <v>20</v>
      </c>
      <c r="B55" s="57" t="s">
        <v>150</v>
      </c>
      <c r="C55" s="148" t="s">
        <v>7</v>
      </c>
      <c r="D55" s="8" t="s">
        <v>848</v>
      </c>
      <c r="E55" s="8" t="s">
        <v>796</v>
      </c>
      <c r="F55" s="8" t="s">
        <v>797</v>
      </c>
    </row>
    <row r="56" spans="1:6" ht="34" customHeight="1">
      <c r="A56" s="144" t="s">
        <v>20</v>
      </c>
      <c r="B56" s="56" t="s">
        <v>151</v>
      </c>
      <c r="C56" s="148" t="s">
        <v>7</v>
      </c>
      <c r="D56" s="36" t="s">
        <v>849</v>
      </c>
      <c r="E56" s="36" t="s">
        <v>796</v>
      </c>
      <c r="F56" s="36" t="s">
        <v>797</v>
      </c>
    </row>
    <row r="57" spans="1:6" ht="34" customHeight="1">
      <c r="A57" s="145" t="s">
        <v>20</v>
      </c>
      <c r="B57" s="57" t="s">
        <v>152</v>
      </c>
      <c r="C57" s="148" t="s">
        <v>7</v>
      </c>
      <c r="D57" s="8" t="s">
        <v>850</v>
      </c>
      <c r="E57" s="8" t="s">
        <v>796</v>
      </c>
      <c r="F57" s="8" t="s">
        <v>797</v>
      </c>
    </row>
    <row r="58" spans="1:6" ht="34" customHeight="1">
      <c r="A58" s="144" t="s">
        <v>20</v>
      </c>
      <c r="B58" s="56" t="s">
        <v>153</v>
      </c>
      <c r="C58" s="150" t="s">
        <v>12</v>
      </c>
      <c r="D58" s="36" t="s">
        <v>851</v>
      </c>
      <c r="E58" s="36" t="s">
        <v>793</v>
      </c>
      <c r="F58" s="36" t="s">
        <v>852</v>
      </c>
    </row>
    <row r="59" spans="1:6" ht="34" customHeight="1">
      <c r="A59" s="145" t="s">
        <v>20</v>
      </c>
      <c r="B59" s="57" t="s">
        <v>154</v>
      </c>
      <c r="C59" s="148" t="s">
        <v>7</v>
      </c>
      <c r="D59" s="8" t="s">
        <v>853</v>
      </c>
      <c r="E59" s="8" t="s">
        <v>793</v>
      </c>
      <c r="F59" s="8" t="s">
        <v>854</v>
      </c>
    </row>
    <row r="60" spans="1:6" ht="34" customHeight="1">
      <c r="A60" s="144" t="s">
        <v>20</v>
      </c>
      <c r="B60" s="56" t="s">
        <v>155</v>
      </c>
      <c r="C60" s="149" t="s">
        <v>17</v>
      </c>
      <c r="D60" s="36" t="s">
        <v>855</v>
      </c>
      <c r="E60" s="36" t="s">
        <v>793</v>
      </c>
      <c r="F60" s="36" t="s">
        <v>856</v>
      </c>
    </row>
    <row r="61" spans="1:6" ht="34" customHeight="1">
      <c r="A61" s="145" t="s">
        <v>20</v>
      </c>
      <c r="B61" s="57" t="s">
        <v>106</v>
      </c>
      <c r="C61" s="149" t="s">
        <v>17</v>
      </c>
      <c r="D61" s="8" t="s">
        <v>857</v>
      </c>
      <c r="E61" s="8" t="s">
        <v>793</v>
      </c>
      <c r="F61" s="8" t="s">
        <v>814</v>
      </c>
    </row>
    <row r="62" spans="1:6" ht="34" customHeight="1">
      <c r="A62" s="144" t="s">
        <v>858</v>
      </c>
      <c r="B62" s="56" t="s">
        <v>682</v>
      </c>
      <c r="C62" s="148" t="s">
        <v>7</v>
      </c>
      <c r="D62" s="36" t="s">
        <v>859</v>
      </c>
      <c r="E62" s="36" t="s">
        <v>860</v>
      </c>
      <c r="F62" s="36" t="s">
        <v>766</v>
      </c>
    </row>
    <row r="63" spans="1:6" ht="34" customHeight="1">
      <c r="A63" s="145" t="s">
        <v>858</v>
      </c>
      <c r="B63" s="57" t="s">
        <v>684</v>
      </c>
      <c r="C63" s="150" t="s">
        <v>12</v>
      </c>
      <c r="D63" s="8" t="s">
        <v>861</v>
      </c>
      <c r="E63" s="8" t="s">
        <v>860</v>
      </c>
      <c r="F63" s="8" t="s">
        <v>766</v>
      </c>
    </row>
    <row r="64" spans="1:6" ht="34" customHeight="1">
      <c r="A64" s="144" t="s">
        <v>858</v>
      </c>
      <c r="B64" s="56" t="s">
        <v>686</v>
      </c>
      <c r="C64" s="149" t="s">
        <v>17</v>
      </c>
      <c r="D64" s="36" t="s">
        <v>862</v>
      </c>
      <c r="E64" s="36" t="s">
        <v>860</v>
      </c>
      <c r="F64" s="36" t="s">
        <v>766</v>
      </c>
    </row>
    <row r="65" spans="1:6" ht="34" customHeight="1">
      <c r="A65" s="145" t="s">
        <v>858</v>
      </c>
      <c r="B65" s="57" t="s">
        <v>688</v>
      </c>
      <c r="C65" s="148" t="s">
        <v>7</v>
      </c>
      <c r="D65" s="8" t="s">
        <v>863</v>
      </c>
      <c r="E65" s="8" t="s">
        <v>860</v>
      </c>
      <c r="F65" s="8" t="s">
        <v>766</v>
      </c>
    </row>
    <row r="66" spans="1:6" ht="34" customHeight="1">
      <c r="A66" s="144" t="s">
        <v>858</v>
      </c>
      <c r="B66" s="56" t="s">
        <v>690</v>
      </c>
      <c r="C66" s="149" t="s">
        <v>17</v>
      </c>
      <c r="D66" s="36" t="s">
        <v>864</v>
      </c>
      <c r="E66" s="36" t="s">
        <v>860</v>
      </c>
      <c r="F66" s="36" t="s">
        <v>766</v>
      </c>
    </row>
    <row r="67" spans="1:6" ht="34" customHeight="1">
      <c r="A67" s="145" t="s">
        <v>858</v>
      </c>
      <c r="B67" s="57" t="s">
        <v>692</v>
      </c>
      <c r="C67" s="148" t="s">
        <v>7</v>
      </c>
      <c r="D67" s="8" t="s">
        <v>783</v>
      </c>
      <c r="E67" s="8" t="s">
        <v>860</v>
      </c>
      <c r="F67" s="8" t="s">
        <v>766</v>
      </c>
    </row>
    <row r="68" spans="1:6" ht="34" customHeight="1">
      <c r="A68" s="144" t="s">
        <v>858</v>
      </c>
      <c r="B68" s="56" t="s">
        <v>693</v>
      </c>
      <c r="C68" s="150" t="s">
        <v>12</v>
      </c>
      <c r="D68" s="36" t="s">
        <v>865</v>
      </c>
      <c r="E68" s="36" t="s">
        <v>860</v>
      </c>
      <c r="F68" s="36" t="s">
        <v>766</v>
      </c>
    </row>
    <row r="69" spans="1:6" ht="34" customHeight="1">
      <c r="A69" s="145" t="s">
        <v>858</v>
      </c>
      <c r="B69" s="57" t="s">
        <v>694</v>
      </c>
      <c r="C69" s="149" t="s">
        <v>17</v>
      </c>
      <c r="D69" s="8" t="s">
        <v>776</v>
      </c>
      <c r="E69" s="8" t="s">
        <v>860</v>
      </c>
      <c r="F69" s="8" t="s">
        <v>766</v>
      </c>
    </row>
    <row r="70" spans="1:6" ht="34" customHeight="1">
      <c r="A70" s="144" t="s">
        <v>858</v>
      </c>
      <c r="B70" s="56" t="s">
        <v>695</v>
      </c>
      <c r="C70" s="150" t="s">
        <v>12</v>
      </c>
      <c r="D70" s="36" t="s">
        <v>866</v>
      </c>
      <c r="E70" s="36" t="s">
        <v>860</v>
      </c>
      <c r="F70" s="36" t="s">
        <v>766</v>
      </c>
    </row>
    <row r="71" spans="1:6" ht="34" customHeight="1">
      <c r="A71" s="145" t="s">
        <v>858</v>
      </c>
      <c r="B71" s="57" t="s">
        <v>697</v>
      </c>
      <c r="C71" s="150" t="s">
        <v>12</v>
      </c>
      <c r="D71" s="8" t="s">
        <v>866</v>
      </c>
      <c r="E71" s="8" t="s">
        <v>860</v>
      </c>
      <c r="F71" s="8" t="s">
        <v>766</v>
      </c>
    </row>
    <row r="72" spans="1:6" ht="34" customHeight="1">
      <c r="A72" s="144" t="s">
        <v>858</v>
      </c>
      <c r="B72" s="56" t="s">
        <v>676</v>
      </c>
      <c r="C72" s="149" t="s">
        <v>17</v>
      </c>
      <c r="D72" s="36" t="s">
        <v>867</v>
      </c>
      <c r="E72" s="36" t="s">
        <v>860</v>
      </c>
      <c r="F72" s="36" t="s">
        <v>766</v>
      </c>
    </row>
    <row r="73" spans="1:6" ht="34" customHeight="1">
      <c r="A73" s="145" t="s">
        <v>858</v>
      </c>
      <c r="B73" s="57" t="s">
        <v>699</v>
      </c>
      <c r="C73" s="148" t="s">
        <v>7</v>
      </c>
      <c r="D73" s="8" t="s">
        <v>868</v>
      </c>
      <c r="E73" s="8" t="s">
        <v>860</v>
      </c>
      <c r="F73" s="8" t="s">
        <v>766</v>
      </c>
    </row>
    <row r="74" spans="1:6" ht="34" customHeight="1">
      <c r="A74" s="144" t="s">
        <v>858</v>
      </c>
      <c r="B74" s="56" t="s">
        <v>701</v>
      </c>
      <c r="C74" s="149" t="s">
        <v>17</v>
      </c>
      <c r="D74" s="36" t="s">
        <v>869</v>
      </c>
      <c r="E74" s="36" t="s">
        <v>860</v>
      </c>
      <c r="F74" s="36" t="s">
        <v>766</v>
      </c>
    </row>
    <row r="75" spans="1:6" ht="34" customHeight="1">
      <c r="A75" s="145" t="s">
        <v>858</v>
      </c>
      <c r="B75" s="57" t="s">
        <v>703</v>
      </c>
      <c r="C75" s="149" t="s">
        <v>17</v>
      </c>
      <c r="D75" s="8" t="s">
        <v>869</v>
      </c>
      <c r="E75" s="8" t="s">
        <v>860</v>
      </c>
      <c r="F75" s="8" t="s">
        <v>766</v>
      </c>
    </row>
    <row r="76" spans="1:6" ht="34" customHeight="1">
      <c r="A76" s="144" t="s">
        <v>858</v>
      </c>
      <c r="B76" s="56" t="s">
        <v>705</v>
      </c>
      <c r="C76" s="148" t="s">
        <v>7</v>
      </c>
      <c r="D76" s="36" t="s">
        <v>870</v>
      </c>
      <c r="E76" s="36" t="s">
        <v>860</v>
      </c>
      <c r="F76" s="36" t="s">
        <v>766</v>
      </c>
    </row>
    <row r="77" spans="1:6" ht="34" customHeight="1">
      <c r="A77" s="146" t="s">
        <v>858</v>
      </c>
      <c r="B77" s="93" t="s">
        <v>707</v>
      </c>
      <c r="C77" s="151" t="s">
        <v>7</v>
      </c>
      <c r="D77" s="11" t="s">
        <v>871</v>
      </c>
      <c r="E77" s="11" t="s">
        <v>860</v>
      </c>
      <c r="F77" s="11" t="s">
        <v>766</v>
      </c>
    </row>
  </sheetData>
  <mergeCells count="1">
    <mergeCell ref="A1:F1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00_Data_Notes</vt:lpstr>
      <vt:lpstr>01_Series_Basic_Info</vt:lpstr>
      <vt:lpstr>02_Character_Probabilities</vt:lpstr>
      <vt:lpstr>03_Secondary_Market_Raw_Data</vt:lpstr>
      <vt:lpstr>04_Duplicate_Resale</vt:lpstr>
      <vt:lpstr>05_Shipping_Transaction_Rules</vt:lpstr>
      <vt:lpstr>06_Data_Quality_Check</vt:lpstr>
      <vt:lpstr>07_Collection_Progress_Summary</vt:lpstr>
      <vt:lpstr>08_Data_Dictionary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 L</cp:lastModifiedBy>
  <dcterms:modified xsi:type="dcterms:W3CDTF">2026-10-14T15:37:02Z</dcterms:modified>
</cp:coreProperties>
</file>